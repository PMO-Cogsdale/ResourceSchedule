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defaultThemeVersion="166925"/>
  <mc:AlternateContent xmlns:mc="http://schemas.openxmlformats.org/markup-compatibility/2006">
    <mc:Choice Requires="x15">
      <x15ac:absPath xmlns:x15ac="http://schemas.microsoft.com/office/spreadsheetml/2010/11/ac" url="https://harriscomputer.sharepoint.com/sites/Cogs/custsites/PEMI/Shared Documents/Project Documents/Cutover Plan/"/>
    </mc:Choice>
  </mc:AlternateContent>
  <xr:revisionPtr revIDLastSave="0" documentId="8_{CEF74450-AFDA-4B3D-AEB0-9DC3C1868E32}" xr6:coauthVersionLast="47" xr6:coauthVersionMax="47" xr10:uidLastSave="{00000000-0000-0000-0000-000000000000}"/>
  <bookViews>
    <workbookView xWindow="25695" yWindow="0" windowWidth="26010" windowHeight="20985" tabRatio="654" activeTab="1" xr2:uid="{00000000-000D-0000-FFFF-FFFF00000000}"/>
  </bookViews>
  <sheets>
    <sheet name="Cutover Plan" sheetId="1" r:id="rId1"/>
    <sheet name="Rollback Plan" sheetId="2" r:id="rId2"/>
    <sheet name="Mock Go-Live Silverblaze" sheetId="6" r:id="rId3"/>
    <sheet name="Contacts" sheetId="5" r:id="rId4"/>
    <sheet name="Logistics" sheetId="7" r:id="rId5"/>
  </sheets>
  <definedNames>
    <definedName name="_xlnm._FilterDatabase" localSheetId="0" hidden="1">'Cutover Plan'!$A$1:$G$1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38" i="1" s="1"/>
  <c r="A39" i="1" s="1"/>
  <c r="A40" i="1" s="1"/>
  <c r="A41" i="1" s="1"/>
  <c r="A42" i="1" s="1"/>
  <c r="A43" i="1" s="1"/>
  <c r="A44" i="1" s="1"/>
  <c r="A45" i="1" s="1"/>
  <c r="A46" i="1" s="1"/>
  <c r="A4" i="1"/>
  <c r="A5" i="1" l="1"/>
  <c r="A6" i="1" s="1"/>
  <c r="A7" i="1" s="1"/>
  <c r="A11" i="1" s="1"/>
  <c r="A12" i="1" s="1"/>
  <c r="A13" i="1" s="1"/>
  <c r="A14" i="1" s="1"/>
  <c r="A15" i="1" s="1"/>
  <c r="A18" i="1" s="1"/>
  <c r="A20" i="1" l="1"/>
  <c r="A21" i="1" s="1"/>
  <c r="A47" i="1" l="1"/>
  <c r="A48" i="1" s="1"/>
  <c r="A49" i="1" s="1"/>
  <c r="A50" i="1" s="1"/>
  <c r="A51" i="1" s="1"/>
  <c r="A22" i="1"/>
  <c r="A23" i="1" s="1"/>
  <c r="A24" i="1" s="1"/>
  <c r="A25" i="1" s="1"/>
  <c r="A26" i="1" s="1"/>
  <c r="A27" i="1" s="1"/>
  <c r="A28" i="1" s="1"/>
  <c r="A29" i="1" s="1"/>
  <c r="A30" i="1" s="1"/>
  <c r="A31" i="1" s="1"/>
  <c r="A32" i="1" s="1"/>
  <c r="A33" i="1" s="1"/>
  <c r="A34" i="1" s="1"/>
  <c r="A9" i="1" l="1"/>
  <c r="A52" i="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7" i="1"/>
  <c r="A88" i="1" s="1"/>
  <c r="A89" i="1" s="1"/>
  <c r="A90" i="1" s="1"/>
  <c r="A91" i="1" s="1"/>
  <c r="A92" i="1" s="1"/>
  <c r="A93" i="1" s="1"/>
  <c r="A94" i="1" s="1"/>
  <c r="A95" i="1" s="1"/>
  <c r="A96" i="1" s="1"/>
  <c r="A97" i="1" s="1"/>
  <c r="A98" i="1" s="1"/>
  <c r="A99" i="1" s="1"/>
  <c r="A10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author>
  </authors>
  <commentList>
    <comment ref="C11" authorId="0" shapeId="0" xr:uid="{D4712BE9-97B7-4545-839A-CD4556DA6E06}">
      <text>
        <r>
          <rPr>
            <b/>
            <sz val="9"/>
            <color indexed="81"/>
            <rFont val="Tahoma"/>
            <family val="2"/>
          </rPr>
          <t>Al:</t>
        </r>
        <r>
          <rPr>
            <sz val="9"/>
            <color indexed="81"/>
            <rFont val="Tahoma"/>
            <family val="2"/>
          </rPr>
          <t xml:space="preserve">
Do we want to wait until Monday EOD to notify the customers that ebill is available</t>
        </r>
      </text>
    </comment>
    <comment ref="C109" authorId="0" shapeId="0" xr:uid="{2B1F3218-4B92-48B2-BCA5-78CF9CCDE317}">
      <text>
        <r>
          <rPr>
            <b/>
            <sz val="9"/>
            <color indexed="81"/>
            <rFont val="Tahoma"/>
            <family val="2"/>
          </rPr>
          <t>Al:</t>
        </r>
        <r>
          <rPr>
            <sz val="9"/>
            <color indexed="81"/>
            <rFont val="Tahoma"/>
            <family val="2"/>
          </rPr>
          <t xml:space="preserve">
Does PEMI need to do anything with this?</t>
        </r>
      </text>
    </comment>
  </commentList>
</comments>
</file>

<file path=xl/sharedStrings.xml><?xml version="1.0" encoding="utf-8"?>
<sst xmlns="http://schemas.openxmlformats.org/spreadsheetml/2006/main" count="513" uniqueCount="296">
  <si>
    <t>Task ID</t>
  </si>
  <si>
    <t>Type</t>
  </si>
  <si>
    <t>Task</t>
  </si>
  <si>
    <t>Owner</t>
  </si>
  <si>
    <t>Due By</t>
  </si>
  <si>
    <t>Status</t>
  </si>
  <si>
    <t>Notes</t>
  </si>
  <si>
    <t>Questions from PEMI team?</t>
  </si>
  <si>
    <t>PRE  GO-LIVE</t>
  </si>
  <si>
    <t>PM</t>
  </si>
  <si>
    <t>Client UAT Sign Off</t>
  </si>
  <si>
    <t>Ryan E.</t>
  </si>
  <si>
    <t>Silverblaze</t>
  </si>
  <si>
    <t>Verify Silverblaze API on web server</t>
  </si>
  <si>
    <t>Mike/Dan K/Bhavya</t>
  </si>
  <si>
    <t>SB is currently pointing to correct API/Database</t>
  </si>
  <si>
    <t>Technical</t>
  </si>
  <si>
    <t>Grant/Verify Cogsdale Team Access to Prod Servers</t>
  </si>
  <si>
    <t>Mike M.</t>
  </si>
  <si>
    <t>Create web service user before going live</t>
  </si>
  <si>
    <t>Dan K.</t>
  </si>
  <si>
    <t>Dan's IC Biller Tasks</t>
  </si>
  <si>
    <t>Update:
• C:\ICTools\ICBillerInvoiceFileTxEbill\Bin\ICBillerInvoiceFileTx.exe.Config
• C:\ICTools\ICBillerInvoiceFileTx\Bin\ICBillerInvoiceFileTx.exe.Config
• C:\inetpub\CSMWS\CsmWs\Configs\AdminTool\web.config
• C:\inetpub\CSMWS\CsmWs\Configs\Paymentus\web.config
• C:\inetpub\CSMWS\CsmWs\web.config</t>
  </si>
  <si>
    <t xml:space="preserve">Stop Task - Cogsdale-Invoice Cloud Biller – Ebill </t>
  </si>
  <si>
    <t>(AVRPRDCSMWEB01)</t>
  </si>
  <si>
    <t>Confirm Task schedule is good</t>
  </si>
  <si>
    <t>running at 2:00 am(AVRPRDCSMWEB01)</t>
  </si>
  <si>
    <t>Verify Azure backups - includes all Azure servers</t>
  </si>
  <si>
    <t>Cogsdale/PEMI</t>
  </si>
  <si>
    <t>E-Bill Notifications - schedule the overnight job</t>
  </si>
  <si>
    <t>Bhavya</t>
  </si>
  <si>
    <t>currently pointing to SQL 172.30.1.4, Database COGSP.  Currently disabled. PEMI will need to confirm when to enable. This job is set to run at 4am</t>
  </si>
  <si>
    <t>Confirm video - new link or own - PEMI confirmed video can be hidden</t>
  </si>
  <si>
    <t>PEMI-Bhavya</t>
  </si>
  <si>
    <t>PEMI to review and make final decision - remove current video or create and send to Cogsdale a video of PEMI's making. Video has been removed</t>
  </si>
  <si>
    <t>Bhavya to hide video</t>
  </si>
  <si>
    <t>Customer communication re the upcoming change</t>
  </si>
  <si>
    <t>PEMI</t>
  </si>
  <si>
    <t>Review server setup</t>
  </si>
  <si>
    <t>Review of the server setup and installed software.</t>
  </si>
  <si>
    <t>Confirm user setup and access</t>
  </si>
  <si>
    <t>Ensure users are set up and that they have the proper access (CSR's, PEMI employees using SB)</t>
  </si>
  <si>
    <t>Confirm user setup and access - CSM</t>
  </si>
  <si>
    <t>all GP users have been migrated and new password sent to Josh</t>
  </si>
  <si>
    <t>Open SilverBlaze publicly, including addiitonal countries other than China, Russia, etc</t>
  </si>
  <si>
    <t>PEMI IT</t>
  </si>
  <si>
    <t>Create clone SilverBlaze server for test</t>
  </si>
  <si>
    <t>Same requirements as current SilverBlaze server, Bhavya would ensure APIs pointing to Test CSM. Timeline is up to Provident.</t>
  </si>
  <si>
    <t>CUTOVER - Tues, May 12</t>
  </si>
  <si>
    <t>Scheduled tasks / cron jobs</t>
  </si>
  <si>
    <t>Updates by Bhavya.</t>
  </si>
  <si>
    <t>Verify SilverBlaze Integration to Production CSM</t>
  </si>
  <si>
    <t>Repointing to production API</t>
  </si>
  <si>
    <t>Verify 5 tomcat nodes are running</t>
  </si>
  <si>
    <t>Disable Customer Web 3</t>
  </si>
  <si>
    <t>Disable Invoice Biller</t>
  </si>
  <si>
    <t>Turn Off IVR</t>
  </si>
  <si>
    <t>Turn off IVR payment end of business hours on the Friday before cut over</t>
  </si>
  <si>
    <t>Change Passwords</t>
  </si>
  <si>
    <t>Functional</t>
  </si>
  <si>
    <t xml:space="preserve">Post Batches </t>
  </si>
  <si>
    <t xml:space="preserve">Prior to upgrading, post any work transactions &amp; batches, cashed out of casheiring and registers </t>
  </si>
  <si>
    <t>Make sure no users are logged into GP</t>
  </si>
  <si>
    <t>Run query Select * from activity on Dynamics DB to see if any users are logged in and if there is run the query Delete from activity on Dynamics DB.</t>
  </si>
  <si>
    <t>PRSQLSVR01 Server</t>
  </si>
  <si>
    <t>Tasks 27-31 fall under this header</t>
  </si>
  <si>
    <t xml:space="preserve">a. Place GP in Maintenance Mode - Read Only mode </t>
  </si>
  <si>
    <t>Ensures no access to GP/CSM is available at this time.</t>
  </si>
  <si>
    <t>b. Disable SQL agent</t>
  </si>
  <si>
    <t>c. Backup Prod Databases</t>
  </si>
  <si>
    <t>d. Move Databases to AZRPRDCSMDB01</t>
  </si>
  <si>
    <t>AZRPRDCSMDB01 new database server</t>
  </si>
  <si>
    <t>COGSP
CsmWSIdentity
DYNAMICS
ManagementReporter
ManagementReporterDM</t>
  </si>
  <si>
    <t>Cogsdale</t>
  </si>
  <si>
    <t>CUTOVER - Wed, May 13</t>
  </si>
  <si>
    <t>AZRPRDCSMDB01 - SQL Server</t>
  </si>
  <si>
    <t>Task IDs 33 up to 78 fall under this server header</t>
  </si>
  <si>
    <t>Silverblaze Purge test data / accounts</t>
  </si>
  <si>
    <t>Keep CSR and admin accounts.</t>
  </si>
  <si>
    <t>Import users from Customer Web</t>
  </si>
  <si>
    <t>Restore Databases</t>
  </si>
  <si>
    <t xml:space="preserve">Will restore the following overtop of what is there:  </t>
  </si>
  <si>
    <t>Set Log file size to 75 GB</t>
  </si>
  <si>
    <t>Legacy Cardinality Estimation ON for databases</t>
  </si>
  <si>
    <t>Run SQL Scripts</t>
  </si>
  <si>
    <t>Run Before GP Upgrade</t>
  </si>
  <si>
    <t>Change DB to Simple Mode</t>
  </si>
  <si>
    <t>Run GP Utilities as Admin</t>
  </si>
  <si>
    <t>Will need to run this to upgrade databases to latest GP version</t>
  </si>
  <si>
    <t>Launch GP as Admin</t>
  </si>
  <si>
    <t>Upgrade CSM</t>
  </si>
  <si>
    <t>Run SQL Server Utilies to upgrade CSM</t>
  </si>
  <si>
    <t>Change DB back to Full Mode</t>
  </si>
  <si>
    <t>Upgrade 3rd Party Apps</t>
  </si>
  <si>
    <t>Rebuild Datamart in Management Reporter</t>
  </si>
  <si>
    <t>This is needed to make sure the data in the reports are all up to date</t>
  </si>
  <si>
    <t>Rename company CSM  CSM Upgrade to Provident Prod</t>
  </si>
  <si>
    <t>Redeploy NexusAPI Objects</t>
  </si>
  <si>
    <r>
      <rPr>
        <sz val="8"/>
        <color rgb="FF000000"/>
        <rFont val="Arial"/>
        <family val="2"/>
      </rPr>
      <t>Installcsmapidatabasecomponents.sql; PostInitializeCompanyDB.sql; NexusAPIPatchUntil_v2024.1.4.sql; Search_Install_CSM_DatabaseComponents.sql,</t>
    </r>
    <r>
      <rPr>
        <sz val="8"/>
        <color rgb="FFFF0000"/>
        <rFont val="Arial"/>
        <family val="2"/>
      </rPr>
      <t xml:space="preserve"> Talk to Tak about SP modifications</t>
    </r>
  </si>
  <si>
    <t xml:space="preserve">Elastic Search Initial Load </t>
  </si>
  <si>
    <t>Edin to provide steps to Mike</t>
  </si>
  <si>
    <t>Webforms</t>
  </si>
  <si>
    <t>Update UDF paths, SP's</t>
  </si>
  <si>
    <t>Install IM SP's</t>
  </si>
  <si>
    <t>Run permissions grant on UM_IM_spBaseCreateLocationPlus</t>
  </si>
  <si>
    <t>Run permissions grant on UM_IM_spBaseCreateEquipment</t>
  </si>
  <si>
    <t>Update Report Paths for CRW</t>
  </si>
  <si>
    <t>Allan</t>
  </si>
  <si>
    <t>UMPD001; UM41700</t>
  </si>
  <si>
    <t>Re-map EMRUSER to COGSP and Dynamics DB - Done</t>
  </si>
  <si>
    <t xml:space="preserve"> Script under F:\Software\Scripts and called reportpaths</t>
  </si>
  <si>
    <t>Script to update addresses (Allan L )</t>
  </si>
  <si>
    <t>Customer Link Refresh Script</t>
  </si>
  <si>
    <t>These are files related to the SQL job from current prod to support the payments import where only the Customer ID is in the file. We'll need to ensure this is added to the new production sql server. Allan has shared with Mike on 05/05</t>
  </si>
  <si>
    <t>SQL users Permissions</t>
  </si>
  <si>
    <t>Re-map user cricketdomain\kcheng to data reader and dyngrp on COGSP</t>
  </si>
  <si>
    <t>Smartconnect</t>
  </si>
  <si>
    <t xml:space="preserve">Management Reporter </t>
  </si>
  <si>
    <t xml:space="preserve"> Re-build datamart</t>
  </si>
  <si>
    <t>NexusUser</t>
  </si>
  <si>
    <t>map to Dynamics and Cogsp and give it dyngrp</t>
  </si>
  <si>
    <t>Restart API open powershell and run pm2 restart all</t>
  </si>
  <si>
    <t>Re-map emruser to company and dynamics db</t>
  </si>
  <si>
    <t>Update SSRS reporting links in GP</t>
  </si>
  <si>
    <t>Cogsdale comment: PEMI does not use SSRS at this time</t>
  </si>
  <si>
    <t>Update Table permissions for Accelerator Tables (add Alter): for Dyngrp</t>
  </si>
  <si>
    <t>UM60200 Connections; UM60300 Customers; UM60100 Locations</t>
  </si>
  <si>
    <t>Re-map the install_cogdsdale login to the Dynamics and Cogsp in SQL as db_owner</t>
  </si>
  <si>
    <t>Remove old share from SQL server</t>
  </si>
  <si>
    <t>\\azrprdcsmdb01\reports</t>
  </si>
  <si>
    <t>Confirm Production endpoints</t>
  </si>
  <si>
    <t>Bhavya-Silverblaze</t>
  </si>
  <si>
    <t>Silverblaze Portal and Forms.</t>
  </si>
  <si>
    <t>Run InstallCsmIntegrationsDatabaseComponents_v1.3.4.sql on COGSP</t>
  </si>
  <si>
    <t>(AVRPRDCSMDB01)</t>
  </si>
  <si>
    <t>Run insert for activating advanced</t>
  </si>
  <si>
    <t>(AVRPRDCSMDB01) - C:\Cogsdale\Software\SOAP_API\OneDrive_1_11-11-2025\SettingScripts.sql on COGSP</t>
  </si>
  <si>
    <t>Keep Cogsdale-Invoice Cloud Biller Invoice File disabled (Future Use CIF)</t>
  </si>
  <si>
    <t>Run initial biller process – 1:24 was the last duration</t>
  </si>
  <si>
    <t>Run Allan’s data correction script</t>
  </si>
  <si>
    <t>(AVRPRDCSMDB01) -location ID check/PEMI customers with dashes</t>
  </si>
  <si>
    <t>Run Script to update report paths</t>
  </si>
  <si>
    <t>Update report paths to new location \\AZRPRDCSMRDS01\Reports</t>
  </si>
  <si>
    <t xml:space="preserve">Run Postal Code Correction script (space formatting) </t>
  </si>
  <si>
    <t>Jason/Norma/Allan</t>
  </si>
  <si>
    <t>preference to execute during Saturday smoke testing to avoid production changes before go live</t>
  </si>
  <si>
    <t>Run script to mark remaining error records</t>
  </si>
  <si>
    <t>Run Biller again,  no records should be picked up</t>
  </si>
  <si>
    <t>Check for Error file and correct any errors</t>
  </si>
  <si>
    <t>SilverBlaze can then start to consume biller file for Ebill</t>
  </si>
  <si>
    <t>(AVRPRDCSMWEB01) - PEMI to confirm when to start this SB's e-bill notifications job</t>
  </si>
  <si>
    <t>AZRPRDCSMRDS01 Server</t>
  </si>
  <si>
    <t>Tasks 80 &amp; 81</t>
  </si>
  <si>
    <t>Refresh test with updated data</t>
  </si>
  <si>
    <t>Mike</t>
  </si>
  <si>
    <t>Will refresh later on the 14th in case team needs to reference old UAT data. Update: Mike to refresh while on site</t>
  </si>
  <si>
    <t>System validation by Cogsdale functional team - AZRPRDCSMRDS01 - RDS Server</t>
  </si>
  <si>
    <t>Allan/Norma/Nicole</t>
  </si>
  <si>
    <t>Cogsdale functional team to run through some system validation</t>
  </si>
  <si>
    <t>CUTOVER - Thurs, May 14</t>
  </si>
  <si>
    <t>Confirm CSR Login</t>
  </si>
  <si>
    <t>Finalize smoke testing</t>
  </si>
  <si>
    <t xml:space="preserve">Cogsdale </t>
  </si>
  <si>
    <t>Confirm Customer login</t>
  </si>
  <si>
    <t>Confirm bindings and import of certificates</t>
  </si>
  <si>
    <t>Bhavya/Mike</t>
  </si>
  <si>
    <t>System validation by Provident team</t>
  </si>
  <si>
    <t>PEMI to run through some system validation. PEMI expectation is that they can start at 8am</t>
  </si>
  <si>
    <t>Go/No-Go Decision</t>
  </si>
  <si>
    <t xml:space="preserve">7pm latest PEMI expects to signoff </t>
  </si>
  <si>
    <t>Repoint ProvidentBilling.com to new environment</t>
  </si>
  <si>
    <t>Josh to provide public ip (Providentbilling.com point to 20.175.142.221)</t>
  </si>
  <si>
    <t>Re-enable Paymentus Integration</t>
  </si>
  <si>
    <t>PerfectApps</t>
  </si>
  <si>
    <t>Reconfigure new URL based on new server - PerfectApps</t>
  </si>
  <si>
    <t>Ricardo</t>
  </si>
  <si>
    <t>https://providentbilling.com:4443</t>
  </si>
  <si>
    <t>Reconfigure new URL based on new server - Silverblaze</t>
  </si>
  <si>
    <t>https://providentbilling.com</t>
  </si>
  <si>
    <t>Reconfigure new URL based on new server - Five9</t>
  </si>
  <si>
    <t>Thomas L. (PEMI)</t>
  </si>
  <si>
    <t>https://api.pemi.com:8081</t>
  </si>
  <si>
    <t>Open SilverBlaze publicly (Communicate URL to customers)</t>
  </si>
  <si>
    <t>Enable E-Bill Notifications job</t>
  </si>
  <si>
    <t>PEMI will need to advise Bhavya on when to enable</t>
  </si>
  <si>
    <t>Enable Task when ready: Cogsdale-Invoice Cloud Biller – Ebill</t>
  </si>
  <si>
    <t xml:space="preserve">Importing current CW3 users into Silverblaze </t>
  </si>
  <si>
    <t>ThreatLocker Blocks</t>
  </si>
  <si>
    <t>Nr</t>
  </si>
  <si>
    <t>Title</t>
  </si>
  <si>
    <t>Assignee</t>
  </si>
  <si>
    <t>Start Time</t>
  </si>
  <si>
    <t>End Time</t>
  </si>
  <si>
    <t>Comments</t>
  </si>
  <si>
    <t>Rollback steps to be completed if rollback required</t>
  </si>
  <si>
    <t>System Validation Failed</t>
  </si>
  <si>
    <t>Enable Customer Web 3</t>
  </si>
  <si>
    <t>Enable Invoice Biller</t>
  </si>
  <si>
    <t>Cogsdale-PEMI</t>
  </si>
  <si>
    <t>Turn On IVR</t>
  </si>
  <si>
    <t xml:space="preserve">Remove GP from Maintenance Mode </t>
  </si>
  <si>
    <t>Enable SQL Agent</t>
  </si>
  <si>
    <t>Deletion of imported user records in Silverblaze database</t>
  </si>
  <si>
    <t>Repoint URLs to be reversed (PerfectApps, Silverblaze, Five9)</t>
  </si>
  <si>
    <t>Bhavya, PEMI IT, Ricardo</t>
  </si>
  <si>
    <t>PEMI provides Customer Web User Extract to Cogsdale (usrdtl and usrmst csv files)</t>
  </si>
  <si>
    <t>Cogsdale imports users into Silverblaze</t>
  </si>
  <si>
    <t>After import, user records will be present in Silverblaze database</t>
  </si>
  <si>
    <t>Validation of number of user records were imported</t>
  </si>
  <si>
    <t>PEMI to review (compare number of users in extract vs Silverblaze)</t>
  </si>
  <si>
    <r>
      <rPr>
        <b/>
        <sz val="11"/>
        <color rgb="FF000000"/>
        <rFont val="Calibri"/>
        <family val="2"/>
        <scheme val="minor"/>
      </rPr>
      <t>Login validation of imported user:</t>
    </r>
    <r>
      <rPr>
        <sz val="11"/>
        <color rgb="FF000000"/>
        <rFont val="Calibri"/>
        <family val="2"/>
        <scheme val="minor"/>
      </rPr>
      <t xml:space="preserve"> If PEMI has an employee who is a customer of PEMI, PEMI could ask this employee to test login into Silverblaze.
</t>
    </r>
  </si>
  <si>
    <t>Name</t>
  </si>
  <si>
    <t>Description</t>
  </si>
  <si>
    <t>Email</t>
  </si>
  <si>
    <t>Phone #</t>
  </si>
  <si>
    <t>Cogsdale Staff</t>
  </si>
  <si>
    <t>Ali Raoofi</t>
  </si>
  <si>
    <t>PMO</t>
  </si>
  <si>
    <t>araoofi@harriscomputer.com</t>
  </si>
  <si>
    <t>437-858-4750</t>
  </si>
  <si>
    <t>Tanya Belisle</t>
  </si>
  <si>
    <t>Project Manager</t>
  </si>
  <si>
    <t>TBelisle@cogsdale.com</t>
  </si>
  <si>
    <t>647-998-9327</t>
  </si>
  <si>
    <t>Bhavya Chandrappa</t>
  </si>
  <si>
    <t>Technical Consultant</t>
  </si>
  <si>
    <t>BChandrappa@cogsdale.com</t>
  </si>
  <si>
    <t>289-987-4535</t>
  </si>
  <si>
    <t>Norma Mayhew</t>
  </si>
  <si>
    <t>Application Consultant</t>
  </si>
  <si>
    <t>NMayhew@cogsdale.com</t>
  </si>
  <si>
    <t>902-393-5971</t>
  </si>
  <si>
    <t>Nicole Aubry</t>
  </si>
  <si>
    <t>NAubry@cogsdale.com</t>
  </si>
  <si>
    <t>267-632-6588</t>
  </si>
  <si>
    <t>Mike Macdonald</t>
  </si>
  <si>
    <t>Manager Cloud and Managed Services</t>
  </si>
  <si>
    <t>MMacdonald@cogsdale.com</t>
  </si>
  <si>
    <t xml:space="preserve">902-626-5862 </t>
  </si>
  <si>
    <t>Allan Lapp</t>
  </si>
  <si>
    <t>Senior Technical Consultant</t>
  </si>
  <si>
    <t>ALapp@cogsdale.com</t>
  </si>
  <si>
    <t>902-388-0887</t>
  </si>
  <si>
    <t>Michael Allain</t>
  </si>
  <si>
    <t>Senior Software Developer</t>
  </si>
  <si>
    <t>MAllain@cogsdale.com</t>
  </si>
  <si>
    <t>902-853-7980</t>
  </si>
  <si>
    <t>Daniel Kilgallon</t>
  </si>
  <si>
    <t>Senior Integration Services Engineer</t>
  </si>
  <si>
    <t>DKilgallon@cogsdale.com</t>
  </si>
  <si>
    <t>770-335-0204</t>
  </si>
  <si>
    <t>Tak Man</t>
  </si>
  <si>
    <t>Software Architect, Research &amp; Development</t>
  </si>
  <si>
    <t>TMan@cogsdale.com</t>
  </si>
  <si>
    <t>905-483-8588</t>
  </si>
  <si>
    <t>Srinivas Atyam</t>
  </si>
  <si>
    <t>Database Administrator, Research and Development</t>
  </si>
  <si>
    <t>SAtyam@cogsdale.com</t>
  </si>
  <si>
    <t>571-294- 5288</t>
  </si>
  <si>
    <t>Robin Losier</t>
  </si>
  <si>
    <t>Project Manager, Silverblaze</t>
  </si>
  <si>
    <t>RLosier@harriscomputer.com</t>
  </si>
  <si>
    <t>506-232-9454</t>
  </si>
  <si>
    <t>Jason O'Brien</t>
  </si>
  <si>
    <t>Manager, Professional Services</t>
  </si>
  <si>
    <t>Jason.Obrien@cogsdale.com</t>
  </si>
  <si>
    <t>506-380-5494</t>
  </si>
  <si>
    <t>Violet Paleczny</t>
  </si>
  <si>
    <t>Manager, Research and Development</t>
  </si>
  <si>
    <t>VPaleczny@cogsdale.com</t>
  </si>
  <si>
    <t>507-475-1555</t>
  </si>
  <si>
    <t>Milka Causevic</t>
  </si>
  <si>
    <t>Director, Research &amp; Development - CIS Products</t>
  </si>
  <si>
    <t>MCausevic@cogsdale.com</t>
  </si>
  <si>
    <t>905-630-1198</t>
  </si>
  <si>
    <t>Provident Staff</t>
  </si>
  <si>
    <t>Ryan Edwards</t>
  </si>
  <si>
    <t>Director, Strategic Initiatives</t>
  </si>
  <si>
    <t>redwards@pemi.com</t>
  </si>
  <si>
    <t>437-333-9822</t>
  </si>
  <si>
    <t>Josh Kaufman</t>
  </si>
  <si>
    <t>Director, IT</t>
  </si>
  <si>
    <t>jkaufman@pemi.com</t>
  </si>
  <si>
    <t>416-570-3966</t>
  </si>
  <si>
    <t>Shawn Riley</t>
  </si>
  <si>
    <t>Cloud System Administrator</t>
  </si>
  <si>
    <t>sriley@pemi.com</t>
  </si>
  <si>
    <t>416-357-8666</t>
  </si>
  <si>
    <t> </t>
  </si>
  <si>
    <t>Mike M</t>
  </si>
  <si>
    <t>Mike is flying in from Texas on the Thursday (30th) and leaving the following Thursday (7th)</t>
  </si>
  <si>
    <t>Bhavya arrives from Ottawa to Toronto around 10:15 am. She leaves Thursday afternoon (7th)</t>
  </si>
  <si>
    <t>Ali</t>
  </si>
  <si>
    <t>Lives in Toronto - he will be driving to the office.</t>
  </si>
  <si>
    <t>Norma</t>
  </si>
  <si>
    <t>Norma is flying in from PEI on the Friday and arrives around 2 pm and leaving the following Thursday (7th)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</si>
</sst>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m/dd\ \ h:mm\ AM/PM"/>
    <numFmt numFmtId="165" formatCode="dd\-mmm\ hh:mm\ AM/PM"/>
  </numFmts>
  <fonts count="45">
    <font>
      <sz val="11"/>
      <color theme="1"/>
      <name val="Calibri"/>
      <family val="2"/>
      <scheme val="minor"/>
    </font>
    <font>
      <sz val="11"/>
      <color theme="1"/>
      <name val="Corbel"/>
      <family val="2"/>
    </font>
    <font>
      <sz val="11"/>
      <name val="Corbel"/>
      <family val="2"/>
    </font>
    <font>
      <sz val="11"/>
      <color theme="2"/>
      <name val="Corbel"/>
      <family val="2"/>
    </font>
    <font>
      <sz val="10"/>
      <color indexed="8"/>
      <name val="Arial"/>
      <family val="2"/>
    </font>
    <font>
      <b/>
      <sz val="12"/>
      <color theme="1"/>
      <name val="Calibri"/>
      <family val="2"/>
      <scheme val="minor"/>
    </font>
    <font>
      <sz val="12"/>
      <color theme="1"/>
      <name val="Calibri"/>
      <family val="2"/>
      <scheme val="minor"/>
    </font>
    <font>
      <b/>
      <sz val="12"/>
      <name val="Calibri"/>
      <family val="2"/>
      <scheme val="minor"/>
    </font>
    <font>
      <sz val="12"/>
      <color theme="1"/>
      <name val="Corbel"/>
      <family val="2"/>
    </font>
    <font>
      <sz val="8"/>
      <name val="Calibri"/>
      <family val="2"/>
      <scheme val="minor"/>
    </font>
    <font>
      <b/>
      <sz val="11"/>
      <color rgb="FF000000"/>
      <name val="Calibri"/>
      <family val="2"/>
      <scheme val="minor"/>
    </font>
    <font>
      <b/>
      <sz val="12"/>
      <color theme="0"/>
      <name val="Corbel"/>
      <family val="2"/>
    </font>
    <font>
      <b/>
      <sz val="14"/>
      <color theme="0"/>
      <name val="Bahnschrift"/>
      <family val="2"/>
    </font>
    <font>
      <b/>
      <sz val="14"/>
      <color theme="0"/>
      <name val="Arial"/>
      <family val="2"/>
    </font>
    <font>
      <b/>
      <sz val="11"/>
      <color theme="1"/>
      <name val="Arial"/>
      <family val="2"/>
    </font>
    <font>
      <sz val="12"/>
      <color theme="1"/>
      <name val="Arial"/>
      <family val="2"/>
    </font>
    <font>
      <sz val="11"/>
      <color theme="1"/>
      <name val="Arial"/>
      <family val="2"/>
    </font>
    <font>
      <sz val="12"/>
      <name val="Arial"/>
      <family val="2"/>
    </font>
    <font>
      <sz val="12"/>
      <color rgb="FF00B050"/>
      <name val="Arial"/>
      <family val="2"/>
    </font>
    <font>
      <u/>
      <sz val="11"/>
      <color theme="10"/>
      <name val="Calibri"/>
      <family val="2"/>
      <scheme val="minor"/>
    </font>
    <font>
      <b/>
      <sz val="11"/>
      <color rgb="FF000000"/>
      <name val="Arial"/>
      <family val="2"/>
    </font>
    <font>
      <b/>
      <sz val="11"/>
      <color rgb="FFFFFFFF"/>
      <name val="Arial"/>
      <family val="2"/>
    </font>
    <font>
      <sz val="11"/>
      <color rgb="FF000000"/>
      <name val="Arial"/>
      <family val="2"/>
    </font>
    <font>
      <u/>
      <sz val="11"/>
      <color theme="10"/>
      <name val="Arial"/>
      <family val="2"/>
    </font>
    <font>
      <u/>
      <sz val="11"/>
      <color rgb="FF0563C1"/>
      <name val="Arial"/>
      <family val="2"/>
    </font>
    <font>
      <sz val="11"/>
      <color rgb="FF212121"/>
      <name val="Arial"/>
      <family val="2"/>
    </font>
    <font>
      <sz val="12"/>
      <color rgb="FFFF0000"/>
      <name val="Arial"/>
      <family val="2"/>
    </font>
    <font>
      <sz val="9"/>
      <color indexed="81"/>
      <name val="Tahoma"/>
      <family val="2"/>
    </font>
    <font>
      <b/>
      <sz val="9"/>
      <color indexed="81"/>
      <name val="Tahoma"/>
      <family val="2"/>
    </font>
    <font>
      <sz val="8"/>
      <color theme="0"/>
      <name val="Arial"/>
      <family val="2"/>
    </font>
    <font>
      <sz val="8"/>
      <color theme="1"/>
      <name val="Arial"/>
      <family val="2"/>
    </font>
    <font>
      <sz val="8"/>
      <name val="Arial"/>
      <family val="2"/>
    </font>
    <font>
      <b/>
      <sz val="14"/>
      <color theme="1" tint="0.249977111117893"/>
      <name val="Arial"/>
      <family val="2"/>
    </font>
    <font>
      <sz val="8"/>
      <color theme="1" tint="0.249977111117893"/>
      <name val="Arial"/>
      <family val="2"/>
    </font>
    <font>
      <sz val="12"/>
      <color rgb="FFFF0000"/>
      <name val="Calibri"/>
      <family val="2"/>
      <scheme val="minor"/>
    </font>
    <font>
      <sz val="12"/>
      <color rgb="FF0070C0"/>
      <name val="Arial"/>
      <family val="2"/>
    </font>
    <font>
      <sz val="12"/>
      <color rgb="FF000000"/>
      <name val="Arial"/>
      <family val="2"/>
    </font>
    <font>
      <sz val="11"/>
      <color theme="1"/>
      <name val="Aptos"/>
      <family val="2"/>
      <charset val="1"/>
    </font>
    <font>
      <sz val="11"/>
      <color rgb="FF000000"/>
      <name val="Calibri"/>
      <family val="2"/>
      <scheme val="minor"/>
    </font>
    <font>
      <b/>
      <sz val="12"/>
      <color theme="1"/>
      <name val="Arial"/>
      <family val="2"/>
    </font>
    <font>
      <b/>
      <sz val="12"/>
      <color rgb="FF000000"/>
      <name val="Arial"/>
      <family val="2"/>
    </font>
    <font>
      <b/>
      <sz val="11"/>
      <color theme="1"/>
      <name val="Calibri"/>
      <family val="2"/>
      <scheme val="minor"/>
    </font>
    <font>
      <sz val="8"/>
      <color rgb="FF000000"/>
      <name val="Arial"/>
      <family val="2"/>
    </font>
    <font>
      <sz val="8"/>
      <color rgb="FFFF0000"/>
      <name val="Arial"/>
      <family val="2"/>
    </font>
    <font>
      <sz val="11"/>
      <color rgb="FF000000"/>
      <name val="Segoe UI"/>
      <family val="2"/>
    </font>
  </fonts>
  <fills count="10">
    <fill>
      <patternFill patternType="none"/>
    </fill>
    <fill>
      <patternFill patternType="gray125"/>
    </fill>
    <fill>
      <patternFill patternType="solid">
        <fgColor theme="0"/>
        <bgColor indexed="64"/>
      </patternFill>
    </fill>
    <fill>
      <patternFill patternType="solid">
        <fgColor theme="2"/>
        <bgColor indexed="64"/>
      </patternFill>
    </fill>
    <fill>
      <patternFill patternType="solid">
        <fgColor theme="2" tint="-0.499984740745262"/>
        <bgColor indexed="64"/>
      </patternFill>
    </fill>
    <fill>
      <patternFill patternType="solid">
        <fgColor rgb="FFE7E6E6"/>
        <bgColor rgb="FF000000"/>
      </patternFill>
    </fill>
    <fill>
      <patternFill patternType="solid">
        <fgColor rgb="FFA6A6A6"/>
        <bgColor rgb="FF000000"/>
      </patternFill>
    </fill>
    <fill>
      <patternFill patternType="solid">
        <fgColor theme="3"/>
        <bgColor indexed="64"/>
      </patternFill>
    </fill>
    <fill>
      <patternFill patternType="solid">
        <fgColor rgb="FFFF0000"/>
        <bgColor indexed="64"/>
      </patternFill>
    </fill>
    <fill>
      <patternFill patternType="solid">
        <fgColor theme="4"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alignment vertical="top"/>
    </xf>
    <xf numFmtId="0" fontId="19" fillId="0" borderId="0" applyNumberFormat="0" applyFill="0" applyBorder="0" applyAlignment="0" applyProtection="0"/>
  </cellStyleXfs>
  <cellXfs count="97">
    <xf numFmtId="0" fontId="0" fillId="0" borderId="0" xfId="0"/>
    <xf numFmtId="0" fontId="1" fillId="2" borderId="0" xfId="0" applyFont="1" applyFill="1" applyAlignment="1">
      <alignment vertical="top"/>
    </xf>
    <xf numFmtId="0" fontId="2" fillId="2" borderId="0" xfId="0" applyFont="1" applyFill="1" applyAlignment="1">
      <alignment vertical="top"/>
    </xf>
    <xf numFmtId="0" fontId="3" fillId="2" borderId="0" xfId="0" applyFont="1" applyFill="1" applyAlignment="1">
      <alignment vertical="top"/>
    </xf>
    <xf numFmtId="0" fontId="1" fillId="0" borderId="0" xfId="0" applyFont="1" applyAlignment="1">
      <alignment vertical="top"/>
    </xf>
    <xf numFmtId="0" fontId="1" fillId="0" borderId="0" xfId="0" applyFont="1" applyAlignment="1">
      <alignment vertical="top" wrapText="1"/>
    </xf>
    <xf numFmtId="0" fontId="1" fillId="0" borderId="0" xfId="0" applyFont="1" applyAlignment="1">
      <alignment vertical="center"/>
    </xf>
    <xf numFmtId="0" fontId="1" fillId="2" borderId="0" xfId="0" applyFont="1" applyFill="1" applyAlignment="1">
      <alignment vertical="top" wrapText="1"/>
    </xf>
    <xf numFmtId="0" fontId="2" fillId="2" borderId="0" xfId="0" applyFont="1" applyFill="1" applyAlignment="1">
      <alignment vertical="top" wrapText="1"/>
    </xf>
    <xf numFmtId="0" fontId="6"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3" borderId="1" xfId="0" applyFont="1" applyFill="1" applyBorder="1" applyAlignment="1">
      <alignment horizontal="center" vertical="center"/>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7"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13" fillId="7" borderId="0" xfId="0" applyFont="1" applyFill="1"/>
    <xf numFmtId="164" fontId="13" fillId="7" borderId="0" xfId="0" applyNumberFormat="1" applyFont="1" applyFill="1"/>
    <xf numFmtId="0" fontId="14" fillId="0" borderId="0" xfId="0" applyFont="1"/>
    <xf numFmtId="0" fontId="15" fillId="0" borderId="0" xfId="0" applyFont="1" applyAlignment="1">
      <alignment vertical="center"/>
    </xf>
    <xf numFmtId="0" fontId="15" fillId="0" borderId="0" xfId="0" applyFont="1" applyAlignment="1">
      <alignment vertical="top"/>
    </xf>
    <xf numFmtId="0" fontId="15" fillId="0" borderId="0" xfId="0" applyFont="1" applyAlignment="1">
      <alignment horizontal="center" vertical="center"/>
    </xf>
    <xf numFmtId="0" fontId="15" fillId="0" borderId="0" xfId="0" applyFont="1" applyAlignment="1">
      <alignment horizontal="center" vertical="center" wrapText="1"/>
    </xf>
    <xf numFmtId="0" fontId="15" fillId="0" borderId="0" xfId="0" applyFont="1" applyAlignment="1">
      <alignment vertical="top" wrapText="1"/>
    </xf>
    <xf numFmtId="0" fontId="17" fillId="0" borderId="0" xfId="0" applyFont="1" applyAlignment="1">
      <alignment horizontal="left" vertical="center" wrapText="1"/>
    </xf>
    <xf numFmtId="165" fontId="17" fillId="0" borderId="0" xfId="0" applyNumberFormat="1" applyFont="1" applyAlignment="1">
      <alignment horizontal="center" vertical="center" wrapText="1"/>
    </xf>
    <xf numFmtId="0" fontId="15" fillId="0" borderId="0" xfId="0" applyFont="1" applyAlignment="1">
      <alignment horizontal="left" vertical="center"/>
    </xf>
    <xf numFmtId="0" fontId="17" fillId="0" borderId="0" xfId="0" applyFont="1" applyAlignment="1">
      <alignment vertical="center" wrapText="1"/>
    </xf>
    <xf numFmtId="0" fontId="15" fillId="0" borderId="0" xfId="0" applyFont="1" applyAlignment="1">
      <alignment vertical="center" wrapText="1"/>
    </xf>
    <xf numFmtId="0" fontId="15" fillId="0" borderId="0" xfId="0" applyFont="1" applyAlignment="1">
      <alignment horizontal="left" vertical="center" wrapText="1"/>
    </xf>
    <xf numFmtId="0" fontId="18" fillId="0" borderId="0" xfId="0" applyFont="1" applyAlignment="1">
      <alignment horizontal="center" vertical="center"/>
      <extLst>
        <ext xmlns:xfpb="http://schemas.microsoft.com/office/spreadsheetml/2022/featurepropertybag" uri="{C7286773-470A-42A8-94C5-96B5CB345126}">
          <xfpb:xfComplement i="0"/>
        </ext>
      </extLst>
    </xf>
    <xf numFmtId="0" fontId="18" fillId="0" borderId="0" xfId="0" applyFont="1" applyAlignment="1">
      <alignment horizontal="center" vertical="center" wrapText="1"/>
      <extLst>
        <ext xmlns:xfpb="http://schemas.microsoft.com/office/spreadsheetml/2022/featurepropertybag" uri="{C7286773-470A-42A8-94C5-96B5CB345126}">
          <xfpb:xfComplement i="0"/>
        </ext>
      </extLst>
    </xf>
    <xf numFmtId="0" fontId="13" fillId="7" borderId="0" xfId="0" applyFont="1" applyFill="1" applyAlignment="1">
      <alignment horizontal="left"/>
    </xf>
    <xf numFmtId="0" fontId="15" fillId="0" borderId="0" xfId="0" applyFont="1" applyAlignment="1">
      <alignment horizontal="left" vertical="top"/>
    </xf>
    <xf numFmtId="0" fontId="20" fillId="5" borderId="0" xfId="0" applyFont="1" applyFill="1"/>
    <xf numFmtId="0" fontId="20" fillId="5" borderId="0" xfId="0" applyFont="1" applyFill="1" applyAlignment="1">
      <alignment wrapText="1"/>
    </xf>
    <xf numFmtId="0" fontId="16" fillId="0" borderId="0" xfId="0" applyFont="1"/>
    <xf numFmtId="0" fontId="22" fillId="0" borderId="0" xfId="0" applyFont="1"/>
    <xf numFmtId="0" fontId="23" fillId="0" borderId="0" xfId="2" applyFont="1"/>
    <xf numFmtId="0" fontId="24" fillId="0" borderId="0" xfId="0" applyFont="1"/>
    <xf numFmtId="0" fontId="26" fillId="0" borderId="0" xfId="0" applyFont="1" applyAlignment="1">
      <alignment horizontal="left" vertical="center"/>
    </xf>
    <xf numFmtId="0" fontId="15" fillId="8" borderId="0" xfId="0" applyFont="1" applyFill="1" applyAlignment="1">
      <alignment horizontal="left" vertical="center"/>
    </xf>
    <xf numFmtId="164" fontId="12" fillId="7" borderId="0" xfId="0" applyNumberFormat="1" applyFont="1" applyFill="1" applyAlignment="1">
      <alignment horizontal="center"/>
    </xf>
    <xf numFmtId="0" fontId="30" fillId="0" borderId="0" xfId="0" applyFont="1" applyAlignment="1">
      <alignment horizontal="left" vertical="center" wrapText="1"/>
    </xf>
    <xf numFmtId="0" fontId="31" fillId="0" borderId="0" xfId="0" applyFont="1" applyAlignment="1">
      <alignment horizontal="left" vertical="center" wrapText="1"/>
    </xf>
    <xf numFmtId="0" fontId="30" fillId="0" borderId="0" xfId="0" applyFont="1" applyAlignment="1">
      <alignment horizontal="left" vertical="center"/>
    </xf>
    <xf numFmtId="0" fontId="29" fillId="0" borderId="0" xfId="0" applyFont="1" applyAlignment="1">
      <alignment horizontal="left" vertical="center" wrapText="1"/>
    </xf>
    <xf numFmtId="0" fontId="30" fillId="0" borderId="0" xfId="0" applyFont="1" applyAlignment="1">
      <alignment horizontal="left"/>
    </xf>
    <xf numFmtId="0" fontId="30" fillId="0" borderId="0" xfId="0" applyFont="1" applyAlignment="1">
      <alignment horizontal="left" vertical="top" wrapText="1"/>
    </xf>
    <xf numFmtId="0" fontId="15" fillId="0" borderId="0" xfId="0" applyFont="1" applyAlignment="1">
      <alignment horizontal="left" vertical="top" wrapText="1"/>
    </xf>
    <xf numFmtId="0" fontId="33" fillId="0" borderId="0" xfId="0" applyFont="1" applyAlignment="1">
      <alignment horizontal="left"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0" fillId="0" borderId="1" xfId="0" applyBorder="1" applyAlignment="1">
      <alignment horizontal="left" vertical="center"/>
    </xf>
    <xf numFmtId="0" fontId="36" fillId="0" borderId="0" xfId="0" applyFont="1"/>
    <xf numFmtId="165" fontId="15" fillId="0" borderId="0" xfId="0" applyNumberFormat="1" applyFont="1" applyAlignment="1">
      <alignment horizontal="center" vertical="center" wrapText="1"/>
    </xf>
    <xf numFmtId="0" fontId="18" fillId="0" borderId="0" xfId="0" applyFont="1" applyAlignment="1">
      <alignment horizontal="center" vertical="center"/>
    </xf>
    <xf numFmtId="0" fontId="15" fillId="9" borderId="0" xfId="0" applyFont="1" applyFill="1" applyAlignment="1">
      <alignment vertical="center"/>
    </xf>
    <xf numFmtId="0" fontId="14" fillId="9" borderId="0" xfId="0" applyFont="1" applyFill="1"/>
    <xf numFmtId="0" fontId="13" fillId="7" borderId="0" xfId="0" applyFont="1" applyFill="1" applyAlignment="1">
      <alignment wrapText="1"/>
    </xf>
    <xf numFmtId="0" fontId="37" fillId="0" borderId="0" xfId="0" applyFont="1"/>
    <xf numFmtId="0" fontId="13" fillId="7" borderId="2" xfId="0" applyFont="1" applyFill="1" applyBorder="1"/>
    <xf numFmtId="0" fontId="13" fillId="7" borderId="2" xfId="0" applyFont="1" applyFill="1" applyBorder="1" applyAlignment="1">
      <alignment horizontal="left"/>
    </xf>
    <xf numFmtId="164" fontId="12" fillId="7" borderId="2" xfId="0" applyNumberFormat="1" applyFont="1" applyFill="1" applyBorder="1" applyAlignment="1">
      <alignment horizontal="center"/>
    </xf>
    <xf numFmtId="0" fontId="0" fillId="0" borderId="2" xfId="0" applyBorder="1"/>
    <xf numFmtId="0" fontId="0" fillId="0" borderId="2" xfId="0" applyBorder="1" applyAlignment="1">
      <alignment wrapText="1"/>
    </xf>
    <xf numFmtId="15" fontId="0" fillId="0" borderId="2" xfId="0" applyNumberFormat="1" applyBorder="1"/>
    <xf numFmtId="0" fontId="38" fillId="0" borderId="2" xfId="0" applyFont="1" applyBorder="1" applyAlignment="1">
      <alignment wrapText="1"/>
    </xf>
    <xf numFmtId="0" fontId="40" fillId="0" borderId="0" xfId="0" applyFont="1"/>
    <xf numFmtId="0" fontId="39" fillId="0" borderId="0" xfId="0" applyFont="1" applyAlignment="1">
      <alignment vertical="center"/>
    </xf>
    <xf numFmtId="0" fontId="19" fillId="0" borderId="0" xfId="2" applyAlignment="1">
      <alignment horizontal="left" vertical="center" wrapText="1"/>
    </xf>
    <xf numFmtId="0" fontId="41" fillId="9" borderId="0" xfId="0" applyFont="1" applyFill="1" applyAlignment="1">
      <alignment horizontal="center" wrapText="1"/>
    </xf>
    <xf numFmtId="15" fontId="0" fillId="0" borderId="0" xfId="0" applyNumberFormat="1"/>
    <xf numFmtId="0" fontId="19" fillId="0" borderId="0" xfId="2"/>
    <xf numFmtId="0" fontId="15" fillId="2" borderId="0" xfId="0" applyFont="1" applyFill="1" applyAlignment="1">
      <alignment horizontal="left" vertical="center"/>
    </xf>
    <xf numFmtId="0" fontId="17" fillId="2" borderId="0" xfId="0" applyFont="1" applyFill="1" applyAlignment="1">
      <alignment vertical="center" wrapText="1"/>
    </xf>
    <xf numFmtId="0" fontId="17" fillId="2" borderId="0" xfId="0" applyFont="1" applyFill="1" applyAlignment="1">
      <alignment horizontal="left" vertical="center" wrapText="1"/>
    </xf>
    <xf numFmtId="165" fontId="17" fillId="2" borderId="0" xfId="0" applyNumberFormat="1" applyFont="1" applyFill="1" applyAlignment="1">
      <alignment horizontal="center" vertical="center" wrapText="1"/>
    </xf>
    <xf numFmtId="0" fontId="18"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30" fillId="2" borderId="0" xfId="0" applyFont="1" applyFill="1" applyAlignment="1">
      <alignment horizontal="left" vertical="center" wrapText="1"/>
    </xf>
    <xf numFmtId="0" fontId="15" fillId="2" borderId="0" xfId="0" applyFont="1" applyFill="1" applyAlignment="1">
      <alignment vertical="top"/>
    </xf>
    <xf numFmtId="0" fontId="15" fillId="2" borderId="0" xfId="0" applyFont="1" applyFill="1" applyAlignment="1">
      <alignment vertical="center" wrapText="1"/>
    </xf>
    <xf numFmtId="0" fontId="15" fillId="2" borderId="0" xfId="0" applyFont="1" applyFill="1" applyAlignment="1">
      <alignment vertical="center"/>
    </xf>
    <xf numFmtId="0" fontId="44" fillId="0" borderId="0" xfId="0" applyFont="1" applyAlignment="1">
      <alignment horizontal="left" vertical="center"/>
    </xf>
    <xf numFmtId="0" fontId="19" fillId="0" borderId="0" xfId="2" applyFill="1" applyAlignment="1">
      <alignment horizontal="left" vertical="center"/>
    </xf>
    <xf numFmtId="0" fontId="25" fillId="0" borderId="0" xfId="0" applyFont="1"/>
    <xf numFmtId="0" fontId="44" fillId="0" borderId="0" xfId="0" applyFont="1"/>
    <xf numFmtId="0" fontId="19" fillId="0" borderId="0" xfId="2" applyFill="1"/>
    <xf numFmtId="0" fontId="32" fillId="9" borderId="0" xfId="0" applyFont="1" applyFill="1" applyAlignment="1">
      <alignment horizontal="left" vertical="center"/>
    </xf>
    <xf numFmtId="0" fontId="11" fillId="4" borderId="1" xfId="0" applyFont="1" applyFill="1" applyBorder="1" applyAlignment="1">
      <alignment horizontal="center" vertical="center"/>
    </xf>
    <xf numFmtId="0" fontId="21" fillId="6" borderId="0" xfId="0" applyFont="1" applyFill="1" applyAlignment="1"/>
  </cellXfs>
  <cellStyles count="3">
    <cellStyle name="Hyperlink" xfId="2" builtinId="8"/>
    <cellStyle name="Normal" xfId="0" builtinId="0"/>
    <cellStyle name="Normal 2" xfId="1" xr:uid="{B04405F0-EEC7-408D-B54E-BBE4E3821FA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66675</xdr:rowOff>
    </xdr:from>
    <xdr:to>
      <xdr:col>1</xdr:col>
      <xdr:colOff>1503682</xdr:colOff>
      <xdr:row>2</xdr:row>
      <xdr:rowOff>145512</xdr:rowOff>
    </xdr:to>
    <xdr:pic>
      <xdr:nvPicPr>
        <xdr:cNvPr id="2" name="Picture 1">
          <a:extLst>
            <a:ext uri="{FF2B5EF4-FFF2-40B4-BE49-F238E27FC236}">
              <a16:creationId xmlns:a16="http://schemas.microsoft.com/office/drawing/2014/main" id="{E656BC36-9BDB-4C4B-A6C0-FFC07DF3E84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250825"/>
          <a:ext cx="1817260" cy="466187"/>
        </a:xfrm>
        <a:prstGeom prst="rect">
          <a:avLst/>
        </a:prstGeom>
      </xdr:spPr>
    </xdr:pic>
    <xdr:clientData/>
  </xdr:twoCellAnchor>
  <xdr:twoCellAnchor>
    <xdr:from>
      <xdr:col>1</xdr:col>
      <xdr:colOff>1485901</xdr:colOff>
      <xdr:row>0</xdr:row>
      <xdr:rowOff>85725</xdr:rowOff>
    </xdr:from>
    <xdr:to>
      <xdr:col>3</xdr:col>
      <xdr:colOff>0</xdr:colOff>
      <xdr:row>3</xdr:row>
      <xdr:rowOff>123825</xdr:rowOff>
    </xdr:to>
    <xdr:sp macro="" textlink="">
      <xdr:nvSpPr>
        <xdr:cNvPr id="3" name="TextBox 2">
          <a:extLst>
            <a:ext uri="{FF2B5EF4-FFF2-40B4-BE49-F238E27FC236}">
              <a16:creationId xmlns:a16="http://schemas.microsoft.com/office/drawing/2014/main" id="{7869B560-3797-4651-B15A-044FE816C2F4}"/>
            </a:ext>
          </a:extLst>
        </xdr:cNvPr>
        <xdr:cNvSpPr txBox="1"/>
      </xdr:nvSpPr>
      <xdr:spPr>
        <a:xfrm>
          <a:off x="1733551" y="269875"/>
          <a:ext cx="10413999" cy="590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dk1"/>
              </a:solidFill>
              <a:effectLst/>
              <a:latin typeface="Corbel" panose="020B0503020204020204" pitchFamily="34" charset="0"/>
              <a:ea typeface="+mn-ea"/>
              <a:cs typeface="+mn-cs"/>
            </a:rPr>
            <a:t>Provident - CSM Rollback</a:t>
          </a:r>
          <a:endParaRPr lang="en-US" sz="3600">
            <a:effectLst/>
            <a:latin typeface="Corbel" panose="020B0503020204020204" pitchFamily="34" charset="0"/>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rovidentbilling.com/" TargetMode="External"/><Relationship Id="rId7" Type="http://schemas.openxmlformats.org/officeDocument/2006/relationships/comments" Target="../comments1.xml"/><Relationship Id="rId2" Type="http://schemas.openxmlformats.org/officeDocument/2006/relationships/hyperlink" Target="https://api.pemi.com:8081/" TargetMode="External"/><Relationship Id="rId1" Type="http://schemas.openxmlformats.org/officeDocument/2006/relationships/hyperlink" Target="file:///\\azrprdcsmdb01\reports" TargetMode="External"/><Relationship Id="rId6" Type="http://schemas.openxmlformats.org/officeDocument/2006/relationships/vmlDrawing" Target="../drawings/vmlDrawing1.vml"/><Relationship Id="rId5" Type="http://schemas.openxmlformats.org/officeDocument/2006/relationships/printerSettings" Target="../printerSettings/printerSettings1.bin"/><Relationship Id="rId4" Type="http://schemas.openxmlformats.org/officeDocument/2006/relationships/hyperlink" Target="https://providentbilling.com:4443/"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mailto:MAllain@cogsdale.com" TargetMode="External"/><Relationship Id="rId13" Type="http://schemas.openxmlformats.org/officeDocument/2006/relationships/hyperlink" Target="mailto:Jason.Obrien@cogsdale.com" TargetMode="External"/><Relationship Id="rId3" Type="http://schemas.openxmlformats.org/officeDocument/2006/relationships/hyperlink" Target="mailto:BChandrappa@cogsdale.com" TargetMode="External"/><Relationship Id="rId7" Type="http://schemas.openxmlformats.org/officeDocument/2006/relationships/hyperlink" Target="mailto:ALapp@cogsdale.com" TargetMode="External"/><Relationship Id="rId12" Type="http://schemas.openxmlformats.org/officeDocument/2006/relationships/hyperlink" Target="mailto:RLosier@harriscomputer.com" TargetMode="External"/><Relationship Id="rId17" Type="http://schemas.openxmlformats.org/officeDocument/2006/relationships/hyperlink" Target="mailto:redwards@pemi.com" TargetMode="External"/><Relationship Id="rId2" Type="http://schemas.openxmlformats.org/officeDocument/2006/relationships/hyperlink" Target="mailto:TBelisle@cogsdale.com" TargetMode="External"/><Relationship Id="rId16" Type="http://schemas.openxmlformats.org/officeDocument/2006/relationships/hyperlink" Target="mailto:sriley@pemi.com" TargetMode="External"/><Relationship Id="rId1" Type="http://schemas.openxmlformats.org/officeDocument/2006/relationships/hyperlink" Target="mailto:araoofi@harriscomputer.com" TargetMode="External"/><Relationship Id="rId6" Type="http://schemas.openxmlformats.org/officeDocument/2006/relationships/hyperlink" Target="mailto:MMacdonald@cogsdale.com" TargetMode="External"/><Relationship Id="rId11" Type="http://schemas.openxmlformats.org/officeDocument/2006/relationships/hyperlink" Target="mailto:SAtyam@cogsdale.com" TargetMode="External"/><Relationship Id="rId5" Type="http://schemas.openxmlformats.org/officeDocument/2006/relationships/hyperlink" Target="mailto:NAubry@cogsdale.com" TargetMode="External"/><Relationship Id="rId15" Type="http://schemas.openxmlformats.org/officeDocument/2006/relationships/hyperlink" Target="mailto:MCausevic@cogsdale.com" TargetMode="External"/><Relationship Id="rId10" Type="http://schemas.openxmlformats.org/officeDocument/2006/relationships/hyperlink" Target="mailto:TMan@cogsdale.com" TargetMode="External"/><Relationship Id="rId4" Type="http://schemas.openxmlformats.org/officeDocument/2006/relationships/hyperlink" Target="mailto:NMayhew@cogsdale.com" TargetMode="External"/><Relationship Id="rId9" Type="http://schemas.openxmlformats.org/officeDocument/2006/relationships/hyperlink" Target="mailto:DKilgallon@cogsdale.com" TargetMode="External"/><Relationship Id="rId14" Type="http://schemas.openxmlformats.org/officeDocument/2006/relationships/hyperlink" Target="mailto:VPaleczny@cogsdal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4"/>
  <sheetViews>
    <sheetView zoomScale="90" zoomScaleNormal="90" workbookViewId="0">
      <pane ySplit="1" topLeftCell="A2" activePane="bottomLeft" state="frozen"/>
      <selection pane="bottomLeft" activeCell="G88" sqref="G88"/>
    </sheetView>
  </sheetViews>
  <sheetFormatPr defaultColWidth="9.140625" defaultRowHeight="15"/>
  <cols>
    <col min="1" max="1" width="12.85546875" style="26" customWidth="1"/>
    <col min="2" max="2" width="12.85546875" style="39" customWidth="1"/>
    <col min="3" max="3" width="88.85546875" style="26" bestFit="1" customWidth="1"/>
    <col min="4" max="4" width="23" style="55" customWidth="1"/>
    <col min="5" max="5" width="19.5703125" style="29" bestFit="1" customWidth="1"/>
    <col min="6" max="6" width="10.5703125" style="26" bestFit="1" customWidth="1"/>
    <col min="7" max="7" width="78.140625" style="54" customWidth="1"/>
    <col min="8" max="8" width="48.140625" style="26" customWidth="1"/>
    <col min="9" max="16384" width="9.140625" style="26"/>
  </cols>
  <sheetData>
    <row r="1" spans="1:14" s="24" customFormat="1" ht="18">
      <c r="A1" s="22" t="s">
        <v>0</v>
      </c>
      <c r="B1" s="38" t="s">
        <v>1</v>
      </c>
      <c r="C1" s="23" t="s">
        <v>2</v>
      </c>
      <c r="D1" s="38" t="s">
        <v>3</v>
      </c>
      <c r="E1" s="48" t="s">
        <v>4</v>
      </c>
      <c r="F1" s="22" t="s">
        <v>5</v>
      </c>
      <c r="G1" s="22" t="s">
        <v>6</v>
      </c>
      <c r="H1" s="65" t="s">
        <v>7</v>
      </c>
    </row>
    <row r="2" spans="1:14" s="24" customFormat="1" ht="27.95" customHeight="1">
      <c r="A2" s="94" t="s">
        <v>8</v>
      </c>
      <c r="B2" s="94"/>
      <c r="C2" s="94"/>
      <c r="D2" s="94"/>
      <c r="E2" s="94"/>
      <c r="F2" s="94"/>
      <c r="G2" s="94"/>
      <c r="H2" s="63"/>
      <c r="I2" s="25"/>
      <c r="J2" s="25"/>
      <c r="K2" s="25"/>
      <c r="L2" s="25"/>
      <c r="M2" s="25"/>
      <c r="N2" s="25"/>
    </row>
    <row r="3" spans="1:14" s="25" customFormat="1" ht="18.600000000000001" customHeight="1">
      <c r="A3" s="27">
        <v>1</v>
      </c>
      <c r="B3" s="32" t="s">
        <v>9</v>
      </c>
      <c r="C3" s="30" t="s">
        <v>10</v>
      </c>
      <c r="D3" s="30" t="s">
        <v>11</v>
      </c>
      <c r="E3" s="31">
        <v>46153.708333333336</v>
      </c>
      <c r="F3" s="36" t="b">
        <v>1</v>
      </c>
      <c r="G3" s="52"/>
    </row>
    <row r="4" spans="1:14" s="25" customFormat="1" ht="25.5" customHeight="1">
      <c r="A4" s="27">
        <f>A3+1</f>
        <v>2</v>
      </c>
      <c r="B4" s="32" t="s">
        <v>12</v>
      </c>
      <c r="C4" s="30" t="s">
        <v>13</v>
      </c>
      <c r="D4" s="30" t="s">
        <v>14</v>
      </c>
      <c r="E4" s="31">
        <v>46141.708333333336</v>
      </c>
      <c r="F4" s="36" t="b">
        <v>1</v>
      </c>
      <c r="G4" s="49" t="s">
        <v>15</v>
      </c>
    </row>
    <row r="5" spans="1:14" s="25" customFormat="1">
      <c r="A5" s="27">
        <f t="shared" ref="A5:A15" si="0">A4+1</f>
        <v>3</v>
      </c>
      <c r="B5" s="32" t="s">
        <v>16</v>
      </c>
      <c r="C5" s="30" t="s">
        <v>17</v>
      </c>
      <c r="D5" s="30" t="s">
        <v>18</v>
      </c>
      <c r="E5" s="31">
        <v>46141.708333333336</v>
      </c>
      <c r="F5" s="36" t="b">
        <v>1</v>
      </c>
      <c r="G5" s="49"/>
    </row>
    <row r="6" spans="1:14" s="25" customFormat="1">
      <c r="A6" s="27">
        <f t="shared" si="0"/>
        <v>4</v>
      </c>
      <c r="B6" s="32" t="s">
        <v>16</v>
      </c>
      <c r="C6" s="25" t="s">
        <v>19</v>
      </c>
      <c r="D6" s="30" t="s">
        <v>20</v>
      </c>
      <c r="E6" s="31">
        <v>46141.708333333336</v>
      </c>
      <c r="F6" s="37" t="b">
        <v>1</v>
      </c>
      <c r="G6" s="49"/>
    </row>
    <row r="7" spans="1:14" ht="19.149999999999999" customHeight="1">
      <c r="A7" s="27">
        <f t="shared" si="0"/>
        <v>5</v>
      </c>
      <c r="B7" s="32" t="s">
        <v>16</v>
      </c>
      <c r="C7" s="34" t="s">
        <v>21</v>
      </c>
      <c r="D7" s="30" t="s">
        <v>20</v>
      </c>
      <c r="E7" s="31">
        <v>46141.708333333336</v>
      </c>
      <c r="F7" s="37" t="b">
        <v>1</v>
      </c>
      <c r="G7" s="49" t="s">
        <v>22</v>
      </c>
    </row>
    <row r="8" spans="1:14" ht="19.149999999999999" customHeight="1">
      <c r="A8" s="27">
        <v>6</v>
      </c>
      <c r="B8" s="32" t="s">
        <v>16</v>
      </c>
      <c r="C8" s="33" t="s">
        <v>23</v>
      </c>
      <c r="D8" s="30" t="s">
        <v>20</v>
      </c>
      <c r="E8" s="31">
        <v>46141.708333333336</v>
      </c>
      <c r="F8" s="37" t="b">
        <v>1</v>
      </c>
      <c r="G8" s="49" t="s">
        <v>24</v>
      </c>
    </row>
    <row r="9" spans="1:14" ht="19.149999999999999" customHeight="1">
      <c r="A9" s="27">
        <f>A8+1</f>
        <v>7</v>
      </c>
      <c r="B9" s="32" t="s">
        <v>16</v>
      </c>
      <c r="C9" s="33" t="s">
        <v>25</v>
      </c>
      <c r="D9" s="30" t="s">
        <v>20</v>
      </c>
      <c r="E9" s="31">
        <v>46141.708333333336</v>
      </c>
      <c r="F9" s="36" t="b">
        <v>1</v>
      </c>
      <c r="G9" s="49" t="s">
        <v>26</v>
      </c>
    </row>
    <row r="10" spans="1:14" s="25" customFormat="1">
      <c r="A10" s="27">
        <v>8</v>
      </c>
      <c r="B10" s="32" t="s">
        <v>16</v>
      </c>
      <c r="C10" s="33" t="s">
        <v>27</v>
      </c>
      <c r="D10" s="30" t="s">
        <v>28</v>
      </c>
      <c r="E10" s="31">
        <v>46142.708333333336</v>
      </c>
      <c r="F10" s="36" t="b">
        <v>1</v>
      </c>
      <c r="G10" s="52"/>
    </row>
    <row r="11" spans="1:14" ht="17.45" customHeight="1">
      <c r="A11" s="27">
        <f t="shared" si="0"/>
        <v>9</v>
      </c>
      <c r="B11" s="32" t="s">
        <v>12</v>
      </c>
      <c r="C11" s="34" t="s">
        <v>29</v>
      </c>
      <c r="D11" s="35" t="s">
        <v>30</v>
      </c>
      <c r="E11" s="61">
        <v>46142.708333333336</v>
      </c>
      <c r="F11" s="36" t="b">
        <v>1</v>
      </c>
      <c r="G11" s="49" t="s">
        <v>31</v>
      </c>
    </row>
    <row r="12" spans="1:14" s="25" customFormat="1" ht="22.5">
      <c r="A12" s="27">
        <f t="shared" si="0"/>
        <v>10</v>
      </c>
      <c r="B12" s="32" t="s">
        <v>12</v>
      </c>
      <c r="C12" s="33" t="s">
        <v>32</v>
      </c>
      <c r="D12" s="30" t="s">
        <v>33</v>
      </c>
      <c r="E12" s="31">
        <v>46136.708333333336</v>
      </c>
      <c r="F12" s="36" t="b">
        <v>1</v>
      </c>
      <c r="G12" s="56" t="s">
        <v>34</v>
      </c>
      <c r="H12" s="25" t="s">
        <v>35</v>
      </c>
    </row>
    <row r="13" spans="1:14" s="25" customFormat="1">
      <c r="A13" s="27">
        <f t="shared" si="0"/>
        <v>11</v>
      </c>
      <c r="B13" s="32" t="s">
        <v>12</v>
      </c>
      <c r="C13" s="33" t="s">
        <v>36</v>
      </c>
      <c r="D13" s="30" t="s">
        <v>37</v>
      </c>
      <c r="E13" s="31">
        <v>46145.708333333336</v>
      </c>
      <c r="F13" s="36" t="b">
        <v>1</v>
      </c>
      <c r="G13" s="56"/>
    </row>
    <row r="14" spans="1:14" s="25" customFormat="1">
      <c r="A14" s="27">
        <f t="shared" si="0"/>
        <v>12</v>
      </c>
      <c r="B14" s="32" t="s">
        <v>12</v>
      </c>
      <c r="C14" s="33" t="s">
        <v>38</v>
      </c>
      <c r="D14" s="30" t="s">
        <v>28</v>
      </c>
      <c r="E14" s="31">
        <v>46143.5</v>
      </c>
      <c r="F14" s="36" t="b">
        <v>1</v>
      </c>
      <c r="G14" s="56" t="s">
        <v>39</v>
      </c>
    </row>
    <row r="15" spans="1:14" s="25" customFormat="1">
      <c r="A15" s="27">
        <f t="shared" si="0"/>
        <v>13</v>
      </c>
      <c r="B15" s="32" t="s">
        <v>12</v>
      </c>
      <c r="C15" s="33" t="s">
        <v>40</v>
      </c>
      <c r="D15" s="30" t="s">
        <v>37</v>
      </c>
      <c r="E15" s="31">
        <v>46148.708333333336</v>
      </c>
      <c r="F15" s="36" t="b">
        <v>1</v>
      </c>
      <c r="G15" s="56" t="s">
        <v>41</v>
      </c>
    </row>
    <row r="16" spans="1:14" s="25" customFormat="1">
      <c r="A16" s="27">
        <v>14</v>
      </c>
      <c r="B16" s="32" t="s">
        <v>16</v>
      </c>
      <c r="C16" s="33" t="s">
        <v>42</v>
      </c>
      <c r="D16" s="30" t="s">
        <v>28</v>
      </c>
      <c r="E16" s="31">
        <v>46148.708333333336</v>
      </c>
      <c r="F16" s="36" t="b">
        <v>1</v>
      </c>
      <c r="G16" s="56" t="s">
        <v>43</v>
      </c>
    </row>
    <row r="17" spans="1:8" s="25" customFormat="1">
      <c r="A17" s="27">
        <v>15</v>
      </c>
      <c r="B17" s="32" t="s">
        <v>12</v>
      </c>
      <c r="C17" s="33" t="s">
        <v>44</v>
      </c>
      <c r="D17" s="30" t="s">
        <v>45</v>
      </c>
      <c r="E17" s="31">
        <v>46143.5</v>
      </c>
      <c r="F17" s="36" t="b">
        <v>1</v>
      </c>
      <c r="G17" s="56"/>
    </row>
    <row r="18" spans="1:8" s="25" customFormat="1" ht="22.5">
      <c r="A18" s="27">
        <f>A17+1</f>
        <v>16</v>
      </c>
      <c r="B18" s="32" t="s">
        <v>12</v>
      </c>
      <c r="C18" s="33" t="s">
        <v>46</v>
      </c>
      <c r="D18" s="30" t="s">
        <v>28</v>
      </c>
      <c r="E18" s="31">
        <v>46141.708333333336</v>
      </c>
      <c r="F18" s="36" t="b">
        <v>1</v>
      </c>
      <c r="G18" s="56" t="s">
        <v>47</v>
      </c>
    </row>
    <row r="19" spans="1:8" s="24" customFormat="1" ht="29.65" customHeight="1">
      <c r="A19" s="94" t="s">
        <v>48</v>
      </c>
      <c r="B19" s="94"/>
      <c r="C19" s="94"/>
      <c r="D19" s="94"/>
      <c r="E19" s="94"/>
      <c r="F19" s="94"/>
      <c r="G19" s="94"/>
      <c r="H19" s="64"/>
    </row>
    <row r="20" spans="1:8">
      <c r="A20" s="27">
        <f>A18+1</f>
        <v>17</v>
      </c>
      <c r="B20" s="32" t="s">
        <v>12</v>
      </c>
      <c r="C20" s="34" t="s">
        <v>49</v>
      </c>
      <c r="D20" s="30" t="s">
        <v>30</v>
      </c>
      <c r="E20" s="31">
        <v>46143.75</v>
      </c>
      <c r="F20" s="37" t="b">
        <v>1</v>
      </c>
      <c r="G20" s="49" t="s">
        <v>50</v>
      </c>
    </row>
    <row r="21" spans="1:8">
      <c r="A21" s="27">
        <f>A20+1</f>
        <v>18</v>
      </c>
      <c r="B21" s="32" t="s">
        <v>12</v>
      </c>
      <c r="C21" s="34" t="s">
        <v>51</v>
      </c>
      <c r="D21" s="30" t="s">
        <v>30</v>
      </c>
      <c r="E21" s="31">
        <v>46143.75</v>
      </c>
      <c r="F21" s="37" t="b">
        <v>1</v>
      </c>
      <c r="G21" s="49" t="s">
        <v>52</v>
      </c>
    </row>
    <row r="22" spans="1:8">
      <c r="A22" s="27">
        <f t="shared" ref="A22:A34" si="1">A21+1</f>
        <v>19</v>
      </c>
      <c r="B22" s="32" t="s">
        <v>12</v>
      </c>
      <c r="C22" s="34" t="s">
        <v>53</v>
      </c>
      <c r="D22" s="30" t="s">
        <v>30</v>
      </c>
      <c r="E22" s="31">
        <v>46143.75</v>
      </c>
      <c r="F22" s="37" t="b">
        <v>1</v>
      </c>
      <c r="G22" s="49"/>
    </row>
    <row r="23" spans="1:8">
      <c r="A23" s="27">
        <f t="shared" si="1"/>
        <v>20</v>
      </c>
      <c r="B23" s="32" t="s">
        <v>12</v>
      </c>
      <c r="C23" s="34" t="s">
        <v>54</v>
      </c>
      <c r="D23" s="30" t="s">
        <v>37</v>
      </c>
      <c r="E23" s="31">
        <v>46154.625</v>
      </c>
      <c r="F23" s="37" t="b">
        <v>1</v>
      </c>
      <c r="G23" s="49"/>
    </row>
    <row r="24" spans="1:8" s="25" customFormat="1">
      <c r="A24" s="27">
        <f t="shared" si="1"/>
        <v>21</v>
      </c>
      <c r="B24" s="32" t="s">
        <v>16</v>
      </c>
      <c r="C24" s="60" t="s">
        <v>55</v>
      </c>
      <c r="D24" s="30" t="s">
        <v>28</v>
      </c>
      <c r="E24" s="31">
        <v>46143.75</v>
      </c>
      <c r="F24" s="36" t="b">
        <v>1</v>
      </c>
      <c r="G24" s="53"/>
    </row>
    <row r="25" spans="1:8" s="25" customFormat="1">
      <c r="A25" s="27">
        <f t="shared" si="1"/>
        <v>22</v>
      </c>
      <c r="B25" s="32" t="s">
        <v>16</v>
      </c>
      <c r="C25" s="30" t="s">
        <v>56</v>
      </c>
      <c r="D25" s="30" t="s">
        <v>37</v>
      </c>
      <c r="E25" s="31">
        <v>46154.666666666664</v>
      </c>
      <c r="F25" s="36" t="b">
        <v>1</v>
      </c>
      <c r="G25" s="53" t="s">
        <v>57</v>
      </c>
    </row>
    <row r="26" spans="1:8" s="25" customFormat="1">
      <c r="A26" s="27">
        <f t="shared" si="1"/>
        <v>23</v>
      </c>
      <c r="B26" s="32" t="s">
        <v>16</v>
      </c>
      <c r="C26" s="30" t="s">
        <v>58</v>
      </c>
      <c r="D26" s="30" t="s">
        <v>28</v>
      </c>
      <c r="E26" s="31">
        <v>46143.75</v>
      </c>
      <c r="F26" s="36" t="b">
        <v>1</v>
      </c>
      <c r="G26" s="53"/>
    </row>
    <row r="27" spans="1:8" s="25" customFormat="1" ht="17.45" customHeight="1">
      <c r="A27" s="27">
        <f t="shared" si="1"/>
        <v>24</v>
      </c>
      <c r="B27" s="32" t="s">
        <v>59</v>
      </c>
      <c r="C27" s="30" t="s">
        <v>60</v>
      </c>
      <c r="D27" s="30" t="s">
        <v>37</v>
      </c>
      <c r="E27" s="31">
        <v>46154.708333333336</v>
      </c>
      <c r="F27" s="36" t="b">
        <v>1</v>
      </c>
      <c r="G27" s="50" t="s">
        <v>61</v>
      </c>
    </row>
    <row r="28" spans="1:8" s="25" customFormat="1" ht="16.899999999999999" customHeight="1">
      <c r="A28" s="27">
        <f t="shared" si="1"/>
        <v>25</v>
      </c>
      <c r="B28" s="32" t="s">
        <v>16</v>
      </c>
      <c r="C28" s="33" t="s">
        <v>62</v>
      </c>
      <c r="D28" s="30" t="s">
        <v>37</v>
      </c>
      <c r="E28" s="31">
        <v>46154.729166666664</v>
      </c>
      <c r="F28" s="37" t="b">
        <v>1</v>
      </c>
      <c r="G28" s="50" t="s">
        <v>63</v>
      </c>
    </row>
    <row r="29" spans="1:8" s="25" customFormat="1" ht="15.75">
      <c r="A29" s="27">
        <f t="shared" si="1"/>
        <v>26</v>
      </c>
      <c r="B29" s="32" t="s">
        <v>16</v>
      </c>
      <c r="C29" s="75" t="s">
        <v>64</v>
      </c>
      <c r="D29" s="30" t="s">
        <v>18</v>
      </c>
      <c r="E29" s="31">
        <v>46154.75</v>
      </c>
      <c r="F29" s="37" t="b">
        <v>1</v>
      </c>
      <c r="G29" s="50" t="s">
        <v>65</v>
      </c>
    </row>
    <row r="30" spans="1:8" s="25" customFormat="1">
      <c r="A30" s="27">
        <f t="shared" si="1"/>
        <v>27</v>
      </c>
      <c r="B30" s="32" t="s">
        <v>16</v>
      </c>
      <c r="C30" s="33" t="s">
        <v>66</v>
      </c>
      <c r="D30" s="30" t="s">
        <v>28</v>
      </c>
      <c r="E30" s="31">
        <v>46154.75</v>
      </c>
      <c r="F30" s="37" t="b">
        <v>1</v>
      </c>
      <c r="G30" s="50" t="s">
        <v>67</v>
      </c>
    </row>
    <row r="31" spans="1:8" s="25" customFormat="1">
      <c r="A31" s="27">
        <f t="shared" si="1"/>
        <v>28</v>
      </c>
      <c r="B31" s="32" t="s">
        <v>16</v>
      </c>
      <c r="C31" s="33" t="s">
        <v>68</v>
      </c>
      <c r="D31" s="30" t="s">
        <v>37</v>
      </c>
      <c r="E31" s="31">
        <v>46154.75</v>
      </c>
      <c r="F31" s="37" t="b">
        <v>1</v>
      </c>
      <c r="G31" s="50"/>
    </row>
    <row r="32" spans="1:8" s="25" customFormat="1">
      <c r="A32" s="27">
        <f t="shared" si="1"/>
        <v>29</v>
      </c>
      <c r="B32" s="32" t="s">
        <v>16</v>
      </c>
      <c r="C32" s="25" t="s">
        <v>69</v>
      </c>
      <c r="D32" s="30" t="s">
        <v>37</v>
      </c>
      <c r="E32" s="31">
        <v>46154.75</v>
      </c>
      <c r="F32" s="37" t="b">
        <v>1</v>
      </c>
      <c r="G32" s="50"/>
    </row>
    <row r="33" spans="1:8" s="25" customFormat="1">
      <c r="A33" s="27">
        <f t="shared" si="1"/>
        <v>30</v>
      </c>
      <c r="B33" s="32" t="s">
        <v>16</v>
      </c>
      <c r="C33" s="25" t="s">
        <v>70</v>
      </c>
      <c r="D33" s="30" t="s">
        <v>28</v>
      </c>
      <c r="E33" s="31">
        <v>46154.75</v>
      </c>
      <c r="F33" s="37" t="b">
        <v>1</v>
      </c>
      <c r="G33" s="50" t="s">
        <v>71</v>
      </c>
    </row>
    <row r="34" spans="1:8" s="25" customFormat="1" ht="75.75" customHeight="1">
      <c r="A34" s="27">
        <f t="shared" si="1"/>
        <v>31</v>
      </c>
      <c r="B34" s="32" t="s">
        <v>16</v>
      </c>
      <c r="C34" s="34" t="s">
        <v>72</v>
      </c>
      <c r="D34" s="30" t="s">
        <v>73</v>
      </c>
      <c r="E34" s="31">
        <v>46154.75</v>
      </c>
      <c r="F34" s="37" t="b">
        <v>1</v>
      </c>
      <c r="G34" s="50"/>
    </row>
    <row r="35" spans="1:8" s="24" customFormat="1" ht="30.4" customHeight="1">
      <c r="A35" s="94" t="s">
        <v>74</v>
      </c>
      <c r="B35" s="94"/>
      <c r="C35" s="94"/>
      <c r="D35" s="94"/>
      <c r="E35" s="94"/>
      <c r="F35" s="94"/>
      <c r="G35" s="94"/>
      <c r="H35" s="64"/>
    </row>
    <row r="36" spans="1:8" s="25" customFormat="1" ht="15.75">
      <c r="A36" s="27">
        <v>32</v>
      </c>
      <c r="B36" s="32" t="s">
        <v>16</v>
      </c>
      <c r="C36" s="75" t="s">
        <v>75</v>
      </c>
      <c r="D36" s="35" t="s">
        <v>18</v>
      </c>
      <c r="E36" s="31">
        <v>46155.333333333336</v>
      </c>
      <c r="F36" s="37" t="b">
        <v>0</v>
      </c>
      <c r="G36" s="50" t="s">
        <v>76</v>
      </c>
    </row>
    <row r="37" spans="1:8" s="88" customFormat="1">
      <c r="A37" s="27">
        <f t="shared" ref="A37:A46" si="2">A36+1</f>
        <v>33</v>
      </c>
      <c r="B37" s="32" t="s">
        <v>12</v>
      </c>
      <c r="C37" s="33" t="s">
        <v>77</v>
      </c>
      <c r="D37" s="35" t="s">
        <v>30</v>
      </c>
      <c r="E37" s="83">
        <v>46155.333333333336</v>
      </c>
      <c r="F37" s="84" t="b">
        <v>1</v>
      </c>
      <c r="G37" s="85" t="s">
        <v>78</v>
      </c>
    </row>
    <row r="38" spans="1:8" s="88" customFormat="1">
      <c r="A38" s="27">
        <f t="shared" si="2"/>
        <v>34</v>
      </c>
      <c r="B38" s="32" t="s">
        <v>12</v>
      </c>
      <c r="C38" s="33" t="s">
        <v>79</v>
      </c>
      <c r="D38" s="35" t="s">
        <v>30</v>
      </c>
      <c r="E38" s="83">
        <v>46155.333333333336</v>
      </c>
      <c r="F38" s="84" t="b">
        <v>1</v>
      </c>
      <c r="G38" s="85"/>
    </row>
    <row r="39" spans="1:8">
      <c r="A39" s="27">
        <f t="shared" si="2"/>
        <v>35</v>
      </c>
      <c r="B39" s="32" t="s">
        <v>16</v>
      </c>
      <c r="C39" s="33" t="s">
        <v>80</v>
      </c>
      <c r="D39" s="35" t="s">
        <v>18</v>
      </c>
      <c r="E39" s="31">
        <v>46155.333333333336</v>
      </c>
      <c r="F39" s="37" t="b">
        <v>1</v>
      </c>
      <c r="G39" s="50" t="s">
        <v>81</v>
      </c>
    </row>
    <row r="40" spans="1:8">
      <c r="A40" s="27">
        <f t="shared" si="2"/>
        <v>36</v>
      </c>
      <c r="B40" s="32" t="s">
        <v>16</v>
      </c>
      <c r="C40" s="33" t="s">
        <v>82</v>
      </c>
      <c r="D40" s="35" t="s">
        <v>18</v>
      </c>
      <c r="E40" s="31">
        <v>46155.333333333336</v>
      </c>
      <c r="F40" s="37" t="b">
        <v>1</v>
      </c>
      <c r="G40" s="50"/>
    </row>
    <row r="41" spans="1:8">
      <c r="A41" s="27">
        <f t="shared" si="2"/>
        <v>37</v>
      </c>
      <c r="B41" s="32" t="s">
        <v>16</v>
      </c>
      <c r="C41" s="33" t="s">
        <v>83</v>
      </c>
      <c r="D41" s="35" t="s">
        <v>18</v>
      </c>
      <c r="E41" s="31">
        <v>46155.333333333336</v>
      </c>
      <c r="F41" s="37" t="b">
        <v>1</v>
      </c>
      <c r="G41" s="50"/>
    </row>
    <row r="42" spans="1:8">
      <c r="A42" s="27">
        <f t="shared" si="2"/>
        <v>38</v>
      </c>
      <c r="B42" s="32" t="s">
        <v>16</v>
      </c>
      <c r="C42" s="33" t="s">
        <v>84</v>
      </c>
      <c r="D42" s="35" t="s">
        <v>18</v>
      </c>
      <c r="E42" s="31">
        <v>46155.333333333336</v>
      </c>
      <c r="F42" s="37" t="b">
        <v>1</v>
      </c>
      <c r="G42" s="50" t="s">
        <v>85</v>
      </c>
    </row>
    <row r="43" spans="1:8">
      <c r="A43" s="27">
        <f t="shared" si="2"/>
        <v>39</v>
      </c>
      <c r="B43" s="32" t="s">
        <v>16</v>
      </c>
      <c r="C43" s="33" t="s">
        <v>86</v>
      </c>
      <c r="D43" s="35" t="s">
        <v>18</v>
      </c>
      <c r="E43" s="31">
        <v>46155.333333333336</v>
      </c>
      <c r="F43" s="37" t="b">
        <v>1</v>
      </c>
      <c r="G43" s="50"/>
    </row>
    <row r="44" spans="1:8">
      <c r="A44" s="27">
        <f t="shared" si="2"/>
        <v>40</v>
      </c>
      <c r="B44" s="32" t="s">
        <v>16</v>
      </c>
      <c r="C44" s="33" t="s">
        <v>87</v>
      </c>
      <c r="D44" s="35" t="s">
        <v>18</v>
      </c>
      <c r="E44" s="31">
        <v>46155.333333333336</v>
      </c>
      <c r="F44" s="37" t="b">
        <v>1</v>
      </c>
      <c r="G44" s="50" t="s">
        <v>88</v>
      </c>
    </row>
    <row r="45" spans="1:8">
      <c r="A45" s="27">
        <f t="shared" si="2"/>
        <v>41</v>
      </c>
      <c r="B45" s="32" t="s">
        <v>16</v>
      </c>
      <c r="C45" s="33" t="s">
        <v>89</v>
      </c>
      <c r="D45" s="35" t="s">
        <v>18</v>
      </c>
      <c r="E45" s="31">
        <v>46155.333333333336</v>
      </c>
      <c r="F45" s="37" t="b">
        <v>1</v>
      </c>
      <c r="G45" s="50"/>
    </row>
    <row r="46" spans="1:8">
      <c r="A46" s="27">
        <f t="shared" si="2"/>
        <v>42</v>
      </c>
      <c r="B46" s="32" t="s">
        <v>16</v>
      </c>
      <c r="C46" s="33" t="s">
        <v>90</v>
      </c>
      <c r="D46" s="35" t="s">
        <v>18</v>
      </c>
      <c r="E46" s="31">
        <v>46155.333333333336</v>
      </c>
      <c r="F46" s="37" t="b">
        <v>1</v>
      </c>
      <c r="G46" s="50" t="s">
        <v>91</v>
      </c>
    </row>
    <row r="47" spans="1:8">
      <c r="A47" s="27">
        <f t="shared" ref="A47:A100" si="3">A46+1</f>
        <v>43</v>
      </c>
      <c r="B47" s="32" t="s">
        <v>16</v>
      </c>
      <c r="C47" s="33" t="s">
        <v>92</v>
      </c>
      <c r="D47" s="35" t="s">
        <v>18</v>
      </c>
      <c r="E47" s="31">
        <v>46155.333333333336</v>
      </c>
      <c r="F47" s="37" t="b">
        <v>1</v>
      </c>
      <c r="G47" s="50"/>
    </row>
    <row r="48" spans="1:8">
      <c r="A48" s="27">
        <f t="shared" si="3"/>
        <v>44</v>
      </c>
      <c r="B48" s="32" t="s">
        <v>16</v>
      </c>
      <c r="C48" s="33" t="s">
        <v>93</v>
      </c>
      <c r="D48" s="35" t="s">
        <v>18</v>
      </c>
      <c r="E48" s="31">
        <v>46155.333333333336</v>
      </c>
      <c r="F48" s="37" t="b">
        <v>1</v>
      </c>
      <c r="G48" s="50"/>
    </row>
    <row r="49" spans="1:7">
      <c r="A49" s="27">
        <f t="shared" si="3"/>
        <v>45</v>
      </c>
      <c r="B49" s="32" t="s">
        <v>16</v>
      </c>
      <c r="C49" s="33" t="s">
        <v>94</v>
      </c>
      <c r="D49" s="35" t="s">
        <v>18</v>
      </c>
      <c r="E49" s="31">
        <v>46155.333333333336</v>
      </c>
      <c r="F49" s="37" t="b">
        <v>1</v>
      </c>
      <c r="G49" s="50" t="s">
        <v>95</v>
      </c>
    </row>
    <row r="50" spans="1:7">
      <c r="A50" s="27">
        <f t="shared" si="3"/>
        <v>46</v>
      </c>
      <c r="B50" s="32" t="s">
        <v>16</v>
      </c>
      <c r="C50" s="34" t="s">
        <v>96</v>
      </c>
      <c r="D50" s="35" t="s">
        <v>18</v>
      </c>
      <c r="E50" s="31">
        <v>46155.333333333336</v>
      </c>
      <c r="F50" s="37" t="b">
        <v>1</v>
      </c>
      <c r="G50" s="50"/>
    </row>
    <row r="51" spans="1:7" ht="24.75" customHeight="1">
      <c r="A51" s="27">
        <f t="shared" si="3"/>
        <v>47</v>
      </c>
      <c r="B51" s="32" t="s">
        <v>16</v>
      </c>
      <c r="C51" s="34" t="s">
        <v>97</v>
      </c>
      <c r="D51" s="35" t="s">
        <v>18</v>
      </c>
      <c r="E51" s="31">
        <v>46155.333333333336</v>
      </c>
      <c r="F51" s="37" t="b">
        <v>1</v>
      </c>
      <c r="G51" s="50" t="s">
        <v>98</v>
      </c>
    </row>
    <row r="52" spans="1:7">
      <c r="A52" s="27">
        <f t="shared" si="3"/>
        <v>48</v>
      </c>
      <c r="B52" s="32" t="s">
        <v>16</v>
      </c>
      <c r="C52" s="34" t="s">
        <v>99</v>
      </c>
      <c r="D52" s="35" t="s">
        <v>18</v>
      </c>
      <c r="E52" s="31">
        <v>46155.333333333336</v>
      </c>
      <c r="F52" s="37" t="b">
        <v>1</v>
      </c>
      <c r="G52" s="50" t="s">
        <v>100</v>
      </c>
    </row>
    <row r="53" spans="1:7">
      <c r="A53" s="27">
        <f t="shared" si="3"/>
        <v>49</v>
      </c>
      <c r="B53" s="32" t="s">
        <v>16</v>
      </c>
      <c r="C53" s="34" t="s">
        <v>101</v>
      </c>
      <c r="D53" s="35" t="s">
        <v>18</v>
      </c>
      <c r="E53" s="31">
        <v>46155.333333333336</v>
      </c>
      <c r="F53" s="37" t="b">
        <v>1</v>
      </c>
      <c r="G53" s="50" t="s">
        <v>102</v>
      </c>
    </row>
    <row r="54" spans="1:7">
      <c r="A54" s="27">
        <f t="shared" si="3"/>
        <v>50</v>
      </c>
      <c r="B54" s="32" t="s">
        <v>16</v>
      </c>
      <c r="C54" s="34" t="s">
        <v>103</v>
      </c>
      <c r="D54" s="35" t="s">
        <v>18</v>
      </c>
      <c r="E54" s="31">
        <v>46155.333333333336</v>
      </c>
      <c r="F54" s="37" t="b">
        <v>1</v>
      </c>
      <c r="G54" s="50"/>
    </row>
    <row r="55" spans="1:7">
      <c r="A55" s="27">
        <f t="shared" si="3"/>
        <v>51</v>
      </c>
      <c r="B55" s="32" t="s">
        <v>16</v>
      </c>
      <c r="C55" s="34" t="s">
        <v>104</v>
      </c>
      <c r="D55" s="35" t="s">
        <v>18</v>
      </c>
      <c r="E55" s="31">
        <v>46155.333333333336</v>
      </c>
      <c r="F55" s="37" t="b">
        <v>1</v>
      </c>
      <c r="G55" s="50"/>
    </row>
    <row r="56" spans="1:7">
      <c r="A56" s="27">
        <f t="shared" si="3"/>
        <v>52</v>
      </c>
      <c r="B56" s="32" t="s">
        <v>16</v>
      </c>
      <c r="C56" s="34" t="s">
        <v>105</v>
      </c>
      <c r="D56" s="35" t="s">
        <v>18</v>
      </c>
      <c r="E56" s="31">
        <v>46155.333333333336</v>
      </c>
      <c r="F56" s="37" t="b">
        <v>1</v>
      </c>
      <c r="G56" s="50"/>
    </row>
    <row r="57" spans="1:7">
      <c r="A57" s="27">
        <f t="shared" si="3"/>
        <v>53</v>
      </c>
      <c r="B57" s="32" t="s">
        <v>16</v>
      </c>
      <c r="C57" s="34" t="s">
        <v>106</v>
      </c>
      <c r="D57" s="35" t="s">
        <v>107</v>
      </c>
      <c r="E57" s="31">
        <v>46155.333333333336</v>
      </c>
      <c r="F57" s="37" t="b">
        <v>1</v>
      </c>
      <c r="G57" s="50" t="s">
        <v>108</v>
      </c>
    </row>
    <row r="58" spans="1:7">
      <c r="A58" s="27">
        <f t="shared" si="3"/>
        <v>54</v>
      </c>
      <c r="B58" s="32" t="s">
        <v>16</v>
      </c>
      <c r="C58" s="34" t="s">
        <v>109</v>
      </c>
      <c r="D58" s="35" t="s">
        <v>18</v>
      </c>
      <c r="E58" s="31">
        <v>46155.333333333336</v>
      </c>
      <c r="F58" s="37" t="b">
        <v>1</v>
      </c>
      <c r="G58" s="50" t="s">
        <v>110</v>
      </c>
    </row>
    <row r="59" spans="1:7">
      <c r="A59" s="27">
        <f t="shared" si="3"/>
        <v>55</v>
      </c>
      <c r="B59" s="32" t="s">
        <v>16</v>
      </c>
      <c r="C59" s="34" t="s">
        <v>111</v>
      </c>
      <c r="D59" s="35" t="s">
        <v>107</v>
      </c>
      <c r="E59" s="31">
        <v>46155.333333333336</v>
      </c>
      <c r="F59" s="37" t="b">
        <v>1</v>
      </c>
      <c r="G59" s="50"/>
    </row>
    <row r="60" spans="1:7" ht="30.75">
      <c r="A60" s="27">
        <f t="shared" si="3"/>
        <v>56</v>
      </c>
      <c r="B60" s="32" t="s">
        <v>16</v>
      </c>
      <c r="C60" s="34" t="s">
        <v>112</v>
      </c>
      <c r="D60" s="35" t="s">
        <v>18</v>
      </c>
      <c r="E60" s="31">
        <v>46155.333333333336</v>
      </c>
      <c r="F60" s="37" t="b">
        <v>1</v>
      </c>
      <c r="G60" s="50" t="s">
        <v>113</v>
      </c>
    </row>
    <row r="61" spans="1:7">
      <c r="A61" s="27">
        <f t="shared" si="3"/>
        <v>57</v>
      </c>
      <c r="B61" s="32" t="s">
        <v>16</v>
      </c>
      <c r="C61" s="34" t="s">
        <v>114</v>
      </c>
      <c r="D61" s="35" t="s">
        <v>18</v>
      </c>
      <c r="E61" s="31">
        <v>46155.333333333336</v>
      </c>
      <c r="F61" s="37" t="b">
        <v>1</v>
      </c>
      <c r="G61" s="50" t="s">
        <v>115</v>
      </c>
    </row>
    <row r="62" spans="1:7">
      <c r="A62" s="27">
        <f t="shared" si="3"/>
        <v>58</v>
      </c>
      <c r="B62" s="32" t="s">
        <v>16</v>
      </c>
      <c r="C62" s="34" t="s">
        <v>116</v>
      </c>
      <c r="D62" s="35" t="s">
        <v>18</v>
      </c>
      <c r="E62" s="31">
        <v>46155.333333333336</v>
      </c>
      <c r="F62" s="37" t="b">
        <v>1</v>
      </c>
      <c r="G62" s="50"/>
    </row>
    <row r="63" spans="1:7">
      <c r="A63" s="27">
        <f t="shared" si="3"/>
        <v>59</v>
      </c>
      <c r="B63" s="32" t="s">
        <v>16</v>
      </c>
      <c r="C63" s="34" t="s">
        <v>117</v>
      </c>
      <c r="D63" s="35" t="s">
        <v>18</v>
      </c>
      <c r="E63" s="31">
        <v>46155.333333333336</v>
      </c>
      <c r="F63" s="37" t="b">
        <v>1</v>
      </c>
      <c r="G63" s="50" t="s">
        <v>118</v>
      </c>
    </row>
    <row r="64" spans="1:7">
      <c r="A64" s="27">
        <f t="shared" si="3"/>
        <v>60</v>
      </c>
      <c r="B64" s="32" t="s">
        <v>16</v>
      </c>
      <c r="C64" s="34" t="s">
        <v>119</v>
      </c>
      <c r="D64" s="35" t="s">
        <v>18</v>
      </c>
      <c r="E64" s="31">
        <v>46155.333333333336</v>
      </c>
      <c r="F64" s="37" t="b">
        <v>1</v>
      </c>
      <c r="G64" s="50" t="s">
        <v>120</v>
      </c>
    </row>
    <row r="65" spans="1:7">
      <c r="A65" s="27">
        <f t="shared" si="3"/>
        <v>61</v>
      </c>
      <c r="B65" s="32" t="s">
        <v>16</v>
      </c>
      <c r="C65" s="34" t="s">
        <v>121</v>
      </c>
      <c r="D65" s="35" t="s">
        <v>18</v>
      </c>
      <c r="E65" s="31">
        <v>46155.333333333336</v>
      </c>
      <c r="F65" s="37" t="b">
        <v>1</v>
      </c>
      <c r="G65" s="50"/>
    </row>
    <row r="66" spans="1:7">
      <c r="A66" s="27">
        <f t="shared" si="3"/>
        <v>62</v>
      </c>
      <c r="B66" s="32" t="s">
        <v>16</v>
      </c>
      <c r="C66" s="34" t="s">
        <v>122</v>
      </c>
      <c r="D66" s="35" t="s">
        <v>18</v>
      </c>
      <c r="E66" s="31">
        <v>46155.333333333336</v>
      </c>
      <c r="F66" s="37" t="b">
        <v>1</v>
      </c>
      <c r="G66" s="50"/>
    </row>
    <row r="67" spans="1:7">
      <c r="A67" s="27">
        <f t="shared" si="3"/>
        <v>63</v>
      </c>
      <c r="B67" s="32" t="s">
        <v>16</v>
      </c>
      <c r="C67" s="34" t="s">
        <v>123</v>
      </c>
      <c r="D67" s="35" t="s">
        <v>18</v>
      </c>
      <c r="E67" s="31">
        <v>46155.333333333336</v>
      </c>
      <c r="F67" s="37" t="b">
        <v>0</v>
      </c>
      <c r="G67" s="50" t="s">
        <v>124</v>
      </c>
    </row>
    <row r="68" spans="1:7">
      <c r="A68" s="27">
        <f t="shared" si="3"/>
        <v>64</v>
      </c>
      <c r="B68" s="32" t="s">
        <v>16</v>
      </c>
      <c r="C68" s="34" t="s">
        <v>125</v>
      </c>
      <c r="D68" s="35" t="s">
        <v>18</v>
      </c>
      <c r="E68" s="31">
        <v>46155.333333333336</v>
      </c>
      <c r="F68" s="37" t="b">
        <v>1</v>
      </c>
      <c r="G68" s="50" t="s">
        <v>126</v>
      </c>
    </row>
    <row r="69" spans="1:7" ht="29.25" customHeight="1">
      <c r="A69" s="27">
        <f t="shared" si="3"/>
        <v>65</v>
      </c>
      <c r="B69" s="32" t="s">
        <v>16</v>
      </c>
      <c r="C69" s="34" t="s">
        <v>127</v>
      </c>
      <c r="D69" s="35" t="s">
        <v>18</v>
      </c>
      <c r="E69" s="31">
        <v>46155.333333333336</v>
      </c>
      <c r="F69" s="37" t="b">
        <v>1</v>
      </c>
      <c r="G69" s="50"/>
    </row>
    <row r="70" spans="1:7" ht="29.25" customHeight="1">
      <c r="A70" s="27">
        <f t="shared" si="3"/>
        <v>66</v>
      </c>
      <c r="B70" s="32" t="s">
        <v>16</v>
      </c>
      <c r="C70" s="34" t="s">
        <v>128</v>
      </c>
      <c r="D70" s="35" t="s">
        <v>18</v>
      </c>
      <c r="E70" s="31">
        <v>46155.333333333336</v>
      </c>
      <c r="F70" s="37" t="b">
        <v>0</v>
      </c>
      <c r="G70" s="76" t="s">
        <v>129</v>
      </c>
    </row>
    <row r="71" spans="1:7" ht="29.25" customHeight="1">
      <c r="A71" s="27">
        <f t="shared" si="3"/>
        <v>67</v>
      </c>
      <c r="B71" s="80" t="s">
        <v>12</v>
      </c>
      <c r="C71" s="87" t="s">
        <v>130</v>
      </c>
      <c r="D71" s="82" t="s">
        <v>131</v>
      </c>
      <c r="E71" s="83">
        <v>46155.416666666664</v>
      </c>
      <c r="F71" s="84" t="b">
        <v>1</v>
      </c>
      <c r="G71" s="85" t="s">
        <v>132</v>
      </c>
    </row>
    <row r="72" spans="1:7">
      <c r="A72" s="27">
        <f t="shared" si="3"/>
        <v>68</v>
      </c>
      <c r="B72" s="32" t="s">
        <v>16</v>
      </c>
      <c r="C72" s="33" t="s">
        <v>133</v>
      </c>
      <c r="D72" s="30" t="s">
        <v>20</v>
      </c>
      <c r="E72" s="31">
        <v>46155.5</v>
      </c>
      <c r="F72" s="37" t="b">
        <v>1</v>
      </c>
      <c r="G72" s="49" t="s">
        <v>134</v>
      </c>
    </row>
    <row r="73" spans="1:7" ht="22.5">
      <c r="A73" s="27">
        <f t="shared" si="3"/>
        <v>69</v>
      </c>
      <c r="B73" s="32" t="s">
        <v>16</v>
      </c>
      <c r="C73" s="33" t="s">
        <v>135</v>
      </c>
      <c r="D73" s="30" t="s">
        <v>20</v>
      </c>
      <c r="E73" s="31">
        <v>46155.5</v>
      </c>
      <c r="F73" s="37" t="b">
        <v>1</v>
      </c>
      <c r="G73" s="49" t="s">
        <v>136</v>
      </c>
    </row>
    <row r="74" spans="1:7">
      <c r="A74" s="27">
        <f t="shared" si="3"/>
        <v>70</v>
      </c>
      <c r="B74" s="32" t="s">
        <v>16</v>
      </c>
      <c r="C74" s="33" t="s">
        <v>137</v>
      </c>
      <c r="D74" s="30" t="s">
        <v>20</v>
      </c>
      <c r="E74" s="31">
        <v>46155.5</v>
      </c>
      <c r="F74" s="37" t="b">
        <v>1</v>
      </c>
      <c r="G74" s="49" t="s">
        <v>24</v>
      </c>
    </row>
    <row r="75" spans="1:7" s="86" customFormat="1">
      <c r="A75" s="27">
        <f t="shared" si="3"/>
        <v>71</v>
      </c>
      <c r="B75" s="80" t="s">
        <v>16</v>
      </c>
      <c r="C75" s="81" t="s">
        <v>138</v>
      </c>
      <c r="D75" s="82" t="s">
        <v>20</v>
      </c>
      <c r="E75" s="83">
        <v>46155.5</v>
      </c>
      <c r="F75" s="84" t="b">
        <v>1</v>
      </c>
      <c r="G75" s="85" t="s">
        <v>24</v>
      </c>
    </row>
    <row r="76" spans="1:7">
      <c r="A76" s="27">
        <f t="shared" si="3"/>
        <v>72</v>
      </c>
      <c r="B76" s="32" t="s">
        <v>59</v>
      </c>
      <c r="C76" s="33" t="s">
        <v>139</v>
      </c>
      <c r="D76" s="30" t="s">
        <v>107</v>
      </c>
      <c r="E76" s="31">
        <v>46155.5</v>
      </c>
      <c r="F76" s="37" t="b">
        <v>1</v>
      </c>
      <c r="G76" s="49" t="s">
        <v>140</v>
      </c>
    </row>
    <row r="77" spans="1:7">
      <c r="A77" s="27">
        <f t="shared" si="3"/>
        <v>73</v>
      </c>
      <c r="B77" s="32" t="s">
        <v>59</v>
      </c>
      <c r="C77" s="33" t="s">
        <v>141</v>
      </c>
      <c r="D77" s="30" t="s">
        <v>107</v>
      </c>
      <c r="E77" s="31">
        <v>46155.5</v>
      </c>
      <c r="F77" s="37" t="b">
        <v>1</v>
      </c>
      <c r="G77" s="49" t="s">
        <v>142</v>
      </c>
    </row>
    <row r="78" spans="1:7">
      <c r="A78" s="27">
        <f t="shared" si="3"/>
        <v>74</v>
      </c>
      <c r="B78" s="32" t="s">
        <v>59</v>
      </c>
      <c r="C78" s="33" t="s">
        <v>143</v>
      </c>
      <c r="D78" s="30" t="s">
        <v>144</v>
      </c>
      <c r="E78" s="31">
        <v>46155.5</v>
      </c>
      <c r="F78" s="37" t="b">
        <v>1</v>
      </c>
      <c r="G78" s="49" t="s">
        <v>145</v>
      </c>
    </row>
    <row r="79" spans="1:7">
      <c r="A79" s="27">
        <f t="shared" si="3"/>
        <v>75</v>
      </c>
      <c r="B79" s="32" t="s">
        <v>16</v>
      </c>
      <c r="C79" s="33" t="s">
        <v>146</v>
      </c>
      <c r="D79" s="30" t="s">
        <v>20</v>
      </c>
      <c r="E79" s="31">
        <v>46155.5</v>
      </c>
      <c r="F79" s="37" t="b">
        <v>1</v>
      </c>
      <c r="G79" s="49" t="s">
        <v>134</v>
      </c>
    </row>
    <row r="80" spans="1:7">
      <c r="A80" s="27">
        <f t="shared" si="3"/>
        <v>76</v>
      </c>
      <c r="B80" s="32" t="s">
        <v>16</v>
      </c>
      <c r="C80" s="33" t="s">
        <v>147</v>
      </c>
      <c r="D80" s="30" t="s">
        <v>20</v>
      </c>
      <c r="E80" s="31">
        <v>46155.5</v>
      </c>
      <c r="F80" s="37" t="b">
        <v>1</v>
      </c>
      <c r="G80" s="49" t="s">
        <v>24</v>
      </c>
    </row>
    <row r="81" spans="1:8">
      <c r="A81" s="27">
        <f t="shared" si="3"/>
        <v>77</v>
      </c>
      <c r="B81" s="32" t="s">
        <v>16</v>
      </c>
      <c r="C81" s="33" t="s">
        <v>148</v>
      </c>
      <c r="D81" s="30" t="s">
        <v>20</v>
      </c>
      <c r="E81" s="31">
        <v>46155.5</v>
      </c>
      <c r="F81" s="37" t="b">
        <v>1</v>
      </c>
      <c r="G81" s="49" t="s">
        <v>24</v>
      </c>
    </row>
    <row r="82" spans="1:8">
      <c r="A82" s="27">
        <f t="shared" si="3"/>
        <v>78</v>
      </c>
      <c r="B82" s="32" t="s">
        <v>12</v>
      </c>
      <c r="C82" s="33" t="s">
        <v>149</v>
      </c>
      <c r="D82" s="30" t="s">
        <v>30</v>
      </c>
      <c r="E82" s="31">
        <v>46155.5</v>
      </c>
      <c r="F82" s="37" t="b">
        <v>1</v>
      </c>
      <c r="G82" s="49" t="s">
        <v>150</v>
      </c>
    </row>
    <row r="83" spans="1:8" ht="15.75">
      <c r="A83" s="27">
        <f t="shared" si="3"/>
        <v>79</v>
      </c>
      <c r="B83" s="32" t="s">
        <v>16</v>
      </c>
      <c r="C83" s="74" t="s">
        <v>151</v>
      </c>
      <c r="D83" s="30"/>
      <c r="E83" s="31"/>
      <c r="F83" s="37" t="b">
        <v>0</v>
      </c>
      <c r="G83" s="49" t="s">
        <v>152</v>
      </c>
    </row>
    <row r="84" spans="1:8" ht="20.25">
      <c r="A84" s="27">
        <f t="shared" si="3"/>
        <v>80</v>
      </c>
      <c r="B84" s="32" t="s">
        <v>16</v>
      </c>
      <c r="C84" s="60" t="s">
        <v>153</v>
      </c>
      <c r="D84" s="30" t="s">
        <v>154</v>
      </c>
      <c r="E84" s="31">
        <v>46155.583333333336</v>
      </c>
      <c r="F84" s="37" t="b">
        <v>0</v>
      </c>
      <c r="G84" s="49" t="s">
        <v>155</v>
      </c>
    </row>
    <row r="85" spans="1:8">
      <c r="A85" s="27">
        <f t="shared" si="3"/>
        <v>81</v>
      </c>
      <c r="B85" s="32" t="s">
        <v>59</v>
      </c>
      <c r="C85" s="25" t="s">
        <v>156</v>
      </c>
      <c r="D85" s="35" t="s">
        <v>157</v>
      </c>
      <c r="E85" s="31">
        <v>46155.583333333336</v>
      </c>
      <c r="F85" s="37" t="b">
        <v>1</v>
      </c>
      <c r="G85" s="51" t="s">
        <v>158</v>
      </c>
    </row>
    <row r="86" spans="1:8" s="24" customFormat="1" ht="33.4" customHeight="1">
      <c r="A86" s="94" t="s">
        <v>159</v>
      </c>
      <c r="B86" s="94"/>
      <c r="C86" s="94"/>
      <c r="D86" s="94"/>
      <c r="E86" s="94"/>
      <c r="F86" s="94"/>
      <c r="G86" s="94"/>
      <c r="H86" s="64"/>
    </row>
    <row r="87" spans="1:8">
      <c r="A87" s="27">
        <f>A85+1</f>
        <v>82</v>
      </c>
      <c r="B87" s="32" t="s">
        <v>12</v>
      </c>
      <c r="C87" s="25" t="s">
        <v>160</v>
      </c>
      <c r="D87" s="30" t="s">
        <v>28</v>
      </c>
      <c r="E87" s="31"/>
      <c r="F87" s="37" t="b">
        <v>0</v>
      </c>
      <c r="G87" s="51"/>
    </row>
    <row r="88" spans="1:8">
      <c r="A88" s="27">
        <f t="shared" si="3"/>
        <v>83</v>
      </c>
      <c r="B88" s="32" t="s">
        <v>12</v>
      </c>
      <c r="C88" s="25" t="s">
        <v>161</v>
      </c>
      <c r="D88" s="35" t="s">
        <v>162</v>
      </c>
      <c r="E88" s="31"/>
      <c r="F88" s="37" t="b">
        <v>1</v>
      </c>
      <c r="G88" s="51"/>
    </row>
    <row r="89" spans="1:8">
      <c r="A89" s="27">
        <f t="shared" si="3"/>
        <v>84</v>
      </c>
      <c r="B89" s="32" t="s">
        <v>12</v>
      </c>
      <c r="C89" s="25" t="s">
        <v>163</v>
      </c>
      <c r="D89" s="35" t="s">
        <v>37</v>
      </c>
      <c r="E89" s="31"/>
      <c r="F89" s="37" t="b">
        <v>0</v>
      </c>
      <c r="G89" s="51"/>
    </row>
    <row r="90" spans="1:8">
      <c r="A90" s="27">
        <f t="shared" si="3"/>
        <v>85</v>
      </c>
      <c r="B90" s="32" t="s">
        <v>12</v>
      </c>
      <c r="C90" s="33" t="s">
        <v>164</v>
      </c>
      <c r="D90" s="30" t="s">
        <v>165</v>
      </c>
      <c r="E90" s="31"/>
      <c r="F90" s="37"/>
      <c r="G90" s="56"/>
    </row>
    <row r="91" spans="1:8">
      <c r="A91" s="27">
        <f t="shared" si="3"/>
        <v>86</v>
      </c>
      <c r="B91" s="32" t="s">
        <v>59</v>
      </c>
      <c r="C91" s="25" t="s">
        <v>166</v>
      </c>
      <c r="D91" s="35" t="s">
        <v>37</v>
      </c>
      <c r="E91" s="61">
        <v>46156.333333333336</v>
      </c>
      <c r="F91" s="37" t="b">
        <v>1</v>
      </c>
      <c r="G91" s="51" t="s">
        <v>167</v>
      </c>
    </row>
    <row r="92" spans="1:8">
      <c r="A92" s="27">
        <f t="shared" si="3"/>
        <v>87</v>
      </c>
      <c r="B92" s="32" t="s">
        <v>16</v>
      </c>
      <c r="C92" s="25" t="s">
        <v>168</v>
      </c>
      <c r="D92" s="30" t="s">
        <v>28</v>
      </c>
      <c r="E92" s="31">
        <v>46156.791666666664</v>
      </c>
      <c r="F92" s="37" t="b">
        <v>1</v>
      </c>
      <c r="G92" s="51" t="s">
        <v>169</v>
      </c>
    </row>
    <row r="93" spans="1:8">
      <c r="A93" s="27">
        <f t="shared" si="3"/>
        <v>88</v>
      </c>
      <c r="B93" s="32" t="s">
        <v>16</v>
      </c>
      <c r="C93" s="25" t="s">
        <v>170</v>
      </c>
      <c r="D93" s="35" t="s">
        <v>37</v>
      </c>
      <c r="E93" s="31">
        <v>46156.8125</v>
      </c>
      <c r="F93" s="37" t="b">
        <v>0</v>
      </c>
      <c r="G93" s="51" t="s">
        <v>171</v>
      </c>
    </row>
    <row r="94" spans="1:8">
      <c r="A94" s="27">
        <f t="shared" si="3"/>
        <v>89</v>
      </c>
      <c r="B94" s="32" t="s">
        <v>16</v>
      </c>
      <c r="C94" s="25" t="s">
        <v>172</v>
      </c>
      <c r="D94" s="30" t="s">
        <v>28</v>
      </c>
      <c r="E94" s="61">
        <v>46156.833333333336</v>
      </c>
      <c r="F94" s="37" t="b">
        <v>0</v>
      </c>
      <c r="G94" s="51"/>
    </row>
    <row r="95" spans="1:8">
      <c r="A95" s="27">
        <f t="shared" si="3"/>
        <v>90</v>
      </c>
      <c r="B95" s="32" t="s">
        <v>173</v>
      </c>
      <c r="C95" s="26" t="s">
        <v>174</v>
      </c>
      <c r="D95" s="35" t="s">
        <v>175</v>
      </c>
      <c r="E95" s="31">
        <v>46156.875</v>
      </c>
      <c r="F95" s="37" t="b">
        <v>0</v>
      </c>
      <c r="G95" s="76" t="s">
        <v>176</v>
      </c>
    </row>
    <row r="96" spans="1:8">
      <c r="A96" s="27">
        <f t="shared" si="3"/>
        <v>91</v>
      </c>
      <c r="B96" s="32" t="s">
        <v>12</v>
      </c>
      <c r="C96" s="26" t="s">
        <v>177</v>
      </c>
      <c r="D96" s="35" t="s">
        <v>30</v>
      </c>
      <c r="E96" s="31">
        <v>46156.875</v>
      </c>
      <c r="F96" s="37" t="b">
        <v>0</v>
      </c>
      <c r="G96" s="76" t="s">
        <v>178</v>
      </c>
    </row>
    <row r="97" spans="1:7">
      <c r="A97" s="27">
        <f t="shared" si="3"/>
        <v>92</v>
      </c>
      <c r="B97" s="32" t="s">
        <v>16</v>
      </c>
      <c r="C97" s="26" t="s">
        <v>179</v>
      </c>
      <c r="D97" s="35" t="s">
        <v>180</v>
      </c>
      <c r="E97" s="31">
        <v>46156.875</v>
      </c>
      <c r="F97" s="37" t="b">
        <v>0</v>
      </c>
      <c r="G97" s="76" t="s">
        <v>181</v>
      </c>
    </row>
    <row r="98" spans="1:7">
      <c r="A98" s="27">
        <f t="shared" si="3"/>
        <v>93</v>
      </c>
      <c r="B98" s="32" t="s">
        <v>12</v>
      </c>
      <c r="C98" s="33" t="s">
        <v>182</v>
      </c>
      <c r="D98" s="30" t="s">
        <v>45</v>
      </c>
      <c r="E98" s="31">
        <v>46156.875</v>
      </c>
      <c r="F98" s="37" t="b">
        <v>0</v>
      </c>
      <c r="G98" s="56"/>
    </row>
    <row r="99" spans="1:7">
      <c r="A99" s="27">
        <f t="shared" si="3"/>
        <v>94</v>
      </c>
      <c r="B99" s="32" t="s">
        <v>12</v>
      </c>
      <c r="C99" s="33" t="s">
        <v>183</v>
      </c>
      <c r="D99" s="30" t="s">
        <v>30</v>
      </c>
      <c r="E99" s="31">
        <v>46156.875</v>
      </c>
      <c r="F99" s="37"/>
      <c r="G99" s="56" t="s">
        <v>184</v>
      </c>
    </row>
    <row r="100" spans="1:7">
      <c r="A100" s="27">
        <f t="shared" si="3"/>
        <v>95</v>
      </c>
      <c r="B100" s="32" t="s">
        <v>16</v>
      </c>
      <c r="C100" s="33" t="s">
        <v>185</v>
      </c>
      <c r="D100" s="30" t="s">
        <v>20</v>
      </c>
      <c r="E100" s="31">
        <v>46156.875</v>
      </c>
      <c r="F100" s="37"/>
      <c r="G100" s="56" t="s">
        <v>24</v>
      </c>
    </row>
    <row r="101" spans="1:7">
      <c r="A101" s="27"/>
      <c r="B101" s="32"/>
      <c r="C101" s="33"/>
      <c r="D101" s="30"/>
      <c r="E101" s="31"/>
      <c r="F101" s="62"/>
      <c r="G101" s="56"/>
    </row>
    <row r="102" spans="1:7">
      <c r="A102" s="27"/>
      <c r="B102" s="32"/>
      <c r="C102" s="33"/>
      <c r="D102" s="30"/>
      <c r="E102" s="31"/>
      <c r="F102" s="62"/>
      <c r="G102" s="56"/>
    </row>
    <row r="103" spans="1:7">
      <c r="A103" s="27"/>
      <c r="B103" s="32"/>
      <c r="C103" s="33"/>
      <c r="D103" s="30"/>
      <c r="E103" s="31"/>
      <c r="F103" s="62"/>
      <c r="G103" s="56"/>
    </row>
    <row r="104" spans="1:7">
      <c r="A104" s="27"/>
      <c r="B104" s="32"/>
      <c r="C104" s="33"/>
      <c r="D104" s="30"/>
      <c r="E104" s="31"/>
      <c r="F104" s="62"/>
      <c r="G104" s="56"/>
    </row>
    <row r="105" spans="1:7">
      <c r="A105" s="27"/>
      <c r="B105" s="32"/>
      <c r="C105" s="33"/>
      <c r="D105" s="30"/>
      <c r="E105" s="31"/>
      <c r="F105" s="62"/>
      <c r="G105" s="56"/>
    </row>
    <row r="106" spans="1:7">
      <c r="A106" s="27"/>
      <c r="B106" s="32"/>
      <c r="C106" s="33"/>
      <c r="D106" s="30"/>
      <c r="E106" s="31"/>
      <c r="F106" s="62"/>
      <c r="G106" s="56"/>
    </row>
    <row r="107" spans="1:7">
      <c r="A107" s="27"/>
      <c r="B107" s="32"/>
      <c r="C107" s="33"/>
      <c r="D107" s="30"/>
      <c r="E107" s="31"/>
      <c r="F107" s="62"/>
      <c r="G107" s="56"/>
    </row>
    <row r="108" spans="1:7">
      <c r="A108" s="27"/>
      <c r="B108" s="32"/>
      <c r="C108" s="46" t="s">
        <v>186</v>
      </c>
      <c r="D108" s="35"/>
      <c r="E108" s="28"/>
      <c r="F108" s="27"/>
      <c r="G108" s="49"/>
    </row>
    <row r="109" spans="1:7">
      <c r="A109" s="27"/>
      <c r="B109" s="32"/>
      <c r="C109" s="47" t="s">
        <v>187</v>
      </c>
      <c r="D109" s="35"/>
      <c r="E109" s="28"/>
      <c r="F109" s="27"/>
      <c r="G109" s="49"/>
    </row>
    <row r="110" spans="1:7">
      <c r="A110" s="27"/>
      <c r="B110" s="32"/>
      <c r="C110" s="27"/>
      <c r="D110" s="35"/>
      <c r="E110" s="28"/>
      <c r="F110" s="27"/>
      <c r="G110" s="49"/>
    </row>
    <row r="111" spans="1:7">
      <c r="A111" s="27"/>
      <c r="B111" s="32"/>
      <c r="C111" s="32"/>
      <c r="D111" s="35"/>
      <c r="E111" s="28"/>
      <c r="F111" s="27"/>
      <c r="G111" s="49"/>
    </row>
    <row r="112" spans="1:7">
      <c r="A112" s="27"/>
      <c r="B112" s="32"/>
      <c r="C112" s="27"/>
      <c r="D112" s="35"/>
      <c r="E112" s="28"/>
      <c r="F112" s="27"/>
      <c r="G112" s="49"/>
    </row>
    <row r="113" spans="1:7">
      <c r="A113" s="27"/>
      <c r="B113" s="32"/>
      <c r="C113" s="27"/>
      <c r="D113" s="35"/>
      <c r="E113" s="28"/>
      <c r="F113" s="27"/>
      <c r="G113" s="49"/>
    </row>
    <row r="114" spans="1:7" ht="48" customHeight="1">
      <c r="A114" s="27"/>
      <c r="B114" s="32"/>
      <c r="C114" s="58"/>
      <c r="D114" s="35"/>
      <c r="E114" s="28"/>
      <c r="F114" s="27"/>
      <c r="G114" s="49"/>
    </row>
    <row r="115" spans="1:7">
      <c r="A115" s="27"/>
      <c r="B115" s="32"/>
      <c r="C115" s="58"/>
      <c r="D115" s="35"/>
      <c r="E115" s="28"/>
      <c r="F115" s="27"/>
      <c r="G115" s="49"/>
    </row>
    <row r="116" spans="1:7">
      <c r="A116" s="27"/>
      <c r="B116" s="32"/>
      <c r="C116" s="27"/>
      <c r="D116" s="35"/>
      <c r="E116" s="28"/>
      <c r="F116" s="27"/>
      <c r="G116" s="49"/>
    </row>
    <row r="117" spans="1:7">
      <c r="A117" s="27"/>
      <c r="B117" s="32"/>
      <c r="C117" s="27"/>
      <c r="D117" s="35"/>
      <c r="E117" s="28"/>
      <c r="F117" s="27"/>
      <c r="G117" s="49"/>
    </row>
    <row r="118" spans="1:7">
      <c r="A118" s="27"/>
      <c r="B118" s="32"/>
      <c r="C118" s="27"/>
      <c r="D118" s="35"/>
      <c r="E118" s="28"/>
      <c r="F118" s="27"/>
      <c r="G118" s="49"/>
    </row>
    <row r="119" spans="1:7">
      <c r="A119" s="27"/>
      <c r="B119" s="32"/>
      <c r="C119" s="27"/>
      <c r="D119" s="35"/>
      <c r="E119" s="28"/>
      <c r="F119" s="27"/>
      <c r="G119" s="49"/>
    </row>
    <row r="120" spans="1:7">
      <c r="A120" s="27"/>
      <c r="B120" s="32"/>
      <c r="C120" s="27"/>
      <c r="D120" s="35"/>
      <c r="E120" s="28"/>
      <c r="F120" s="27"/>
      <c r="G120" s="49"/>
    </row>
    <row r="121" spans="1:7">
      <c r="A121" s="27"/>
      <c r="B121" s="32"/>
      <c r="C121" s="27"/>
      <c r="D121" s="35"/>
      <c r="E121" s="28"/>
      <c r="F121" s="27"/>
      <c r="G121" s="49"/>
    </row>
    <row r="122" spans="1:7">
      <c r="A122" s="27"/>
      <c r="B122" s="32"/>
      <c r="C122" s="27"/>
      <c r="D122" s="35"/>
      <c r="E122" s="28"/>
      <c r="F122" s="27"/>
      <c r="G122" s="49"/>
    </row>
    <row r="123" spans="1:7">
      <c r="A123" s="27"/>
      <c r="B123" s="32"/>
      <c r="C123" s="27"/>
      <c r="D123" s="35"/>
      <c r="E123" s="28"/>
      <c r="F123" s="27"/>
      <c r="G123" s="49"/>
    </row>
    <row r="124" spans="1:7">
      <c r="A124" s="27"/>
      <c r="B124" s="32"/>
      <c r="C124" s="27"/>
      <c r="D124" s="35"/>
      <c r="E124" s="28"/>
      <c r="F124" s="27"/>
      <c r="G124" s="49"/>
    </row>
    <row r="125" spans="1:7">
      <c r="A125" s="27"/>
      <c r="B125" s="32"/>
      <c r="C125" s="27"/>
      <c r="D125" s="35"/>
      <c r="E125" s="28"/>
      <c r="F125" s="27"/>
      <c r="G125" s="49"/>
    </row>
    <row r="126" spans="1:7">
      <c r="A126" s="27"/>
      <c r="B126" s="32"/>
      <c r="C126" s="27"/>
      <c r="D126" s="35"/>
      <c r="E126" s="28"/>
      <c r="F126" s="27"/>
      <c r="G126" s="49"/>
    </row>
    <row r="127" spans="1:7">
      <c r="A127" s="27"/>
      <c r="B127" s="32"/>
      <c r="C127" s="27"/>
      <c r="D127" s="35"/>
      <c r="E127" s="28"/>
      <c r="F127" s="27"/>
      <c r="G127" s="49"/>
    </row>
    <row r="128" spans="1:7">
      <c r="A128" s="27"/>
      <c r="B128" s="32"/>
      <c r="C128" s="27"/>
      <c r="D128" s="35"/>
      <c r="E128" s="28"/>
      <c r="F128" s="27"/>
      <c r="G128" s="49"/>
    </row>
    <row r="129" spans="1:7">
      <c r="A129" s="27"/>
      <c r="B129" s="32"/>
      <c r="C129" s="27"/>
      <c r="D129" s="35"/>
      <c r="E129" s="28"/>
      <c r="F129" s="27"/>
      <c r="G129" s="49"/>
    </row>
    <row r="130" spans="1:7">
      <c r="A130" s="27"/>
      <c r="B130" s="32"/>
      <c r="C130" s="27"/>
      <c r="D130" s="35"/>
      <c r="E130" s="28"/>
      <c r="F130" s="27"/>
      <c r="G130" s="49"/>
    </row>
    <row r="131" spans="1:7">
      <c r="A131" s="27"/>
      <c r="B131" s="32"/>
      <c r="C131" s="27"/>
      <c r="D131" s="35"/>
      <c r="E131" s="28"/>
      <c r="F131" s="27"/>
      <c r="G131" s="49"/>
    </row>
    <row r="132" spans="1:7">
      <c r="A132" s="27"/>
      <c r="B132" s="32"/>
      <c r="C132" s="27"/>
      <c r="D132" s="35"/>
      <c r="E132" s="28"/>
      <c r="F132" s="27"/>
      <c r="G132" s="49"/>
    </row>
    <row r="133" spans="1:7">
      <c r="A133" s="27"/>
      <c r="B133" s="32"/>
      <c r="C133" s="27"/>
      <c r="D133" s="35"/>
      <c r="E133" s="28"/>
      <c r="F133" s="27"/>
      <c r="G133" s="49"/>
    </row>
    <row r="134" spans="1:7">
      <c r="A134" s="27"/>
      <c r="B134" s="32"/>
      <c r="C134" s="27"/>
      <c r="D134" s="35"/>
      <c r="E134" s="28"/>
      <c r="F134" s="27"/>
      <c r="G134" s="49"/>
    </row>
  </sheetData>
  <autoFilter ref="A1:G101" xr:uid="{00000000-0001-0000-0000-000000000000}"/>
  <mergeCells count="4">
    <mergeCell ref="A2:G2"/>
    <mergeCell ref="A19:G19"/>
    <mergeCell ref="A35:G35"/>
    <mergeCell ref="A86:G86"/>
  </mergeCells>
  <phoneticPr fontId="9" type="noConversion"/>
  <hyperlinks>
    <hyperlink ref="G70" r:id="rId1" xr:uid="{113352CB-B575-46E4-B993-415E046C85FF}"/>
    <hyperlink ref="G97" r:id="rId2" xr:uid="{FA5427A1-E571-4538-A313-A8B31FD2F278}"/>
    <hyperlink ref="G96" r:id="rId3" xr:uid="{23EA660C-4A3B-43A4-AE94-2E2653D0C0A1}"/>
    <hyperlink ref="G95" r:id="rId4" xr:uid="{8A986C12-A35A-424D-A9DA-29FA75BCF477}"/>
  </hyperlinks>
  <pageMargins left="0.7" right="0.7" top="0.75" bottom="0.75" header="0.3" footer="0.3"/>
  <pageSetup orientation="portrait" r:id="rId5"/>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96716-8EE6-47F1-B054-C0190926FB5D}">
  <dimension ref="A1:H30"/>
  <sheetViews>
    <sheetView tabSelected="1" zoomScale="85" zoomScaleNormal="85" workbookViewId="0">
      <pane ySplit="5" topLeftCell="A6" activePane="bottomLeft" state="frozen"/>
      <selection pane="bottomLeft" activeCell="B22" sqref="B22"/>
    </sheetView>
  </sheetViews>
  <sheetFormatPr defaultColWidth="9.140625" defaultRowHeight="15" customHeight="1"/>
  <cols>
    <col min="1" max="1" width="3.5703125" style="4" bestFit="1" customWidth="1"/>
    <col min="2" max="2" width="55.5703125" style="4" bestFit="1" customWidth="1"/>
    <col min="3" max="3" width="32.28515625" style="5" customWidth="1"/>
    <col min="4" max="4" width="17.140625" style="5" customWidth="1"/>
    <col min="5" max="5" width="10.5703125" style="5" bestFit="1" customWidth="1"/>
    <col min="6" max="6" width="9.5703125" style="5" bestFit="1" customWidth="1"/>
    <col min="7" max="7" width="11.42578125" style="4" bestFit="1" customWidth="1"/>
    <col min="8" max="8" width="61.42578125" style="5" bestFit="1" customWidth="1"/>
    <col min="9" max="16384" width="9.140625" style="4"/>
  </cols>
  <sheetData>
    <row r="1" spans="1:8" s="3" customFormat="1">
      <c r="A1" s="2"/>
      <c r="B1" s="2"/>
      <c r="C1" s="8"/>
      <c r="D1" s="8"/>
      <c r="E1" s="8"/>
      <c r="F1" s="8"/>
      <c r="G1" s="2"/>
      <c r="H1" s="8"/>
    </row>
    <row r="2" spans="1:8" s="1" customFormat="1">
      <c r="C2" s="7"/>
      <c r="D2" s="7"/>
      <c r="E2" s="7"/>
      <c r="F2" s="7"/>
      <c r="H2" s="7"/>
    </row>
    <row r="3" spans="1:8" s="1" customFormat="1">
      <c r="C3" s="7"/>
      <c r="D3" s="7"/>
      <c r="E3" s="7"/>
      <c r="F3" s="7"/>
      <c r="H3" s="7"/>
    </row>
    <row r="4" spans="1:8" s="1" customFormat="1">
      <c r="C4" s="7"/>
      <c r="D4" s="7"/>
      <c r="E4" s="7"/>
      <c r="F4" s="7"/>
      <c r="H4" s="7"/>
    </row>
    <row r="5" spans="1:8" ht="31.5">
      <c r="A5" s="13" t="s">
        <v>188</v>
      </c>
      <c r="B5" s="13" t="s">
        <v>189</v>
      </c>
      <c r="C5" s="14" t="s">
        <v>6</v>
      </c>
      <c r="D5" s="14" t="s">
        <v>190</v>
      </c>
      <c r="E5" s="14" t="s">
        <v>191</v>
      </c>
      <c r="F5" s="14" t="s">
        <v>192</v>
      </c>
      <c r="G5" s="13" t="s">
        <v>5</v>
      </c>
      <c r="H5" s="14" t="s">
        <v>193</v>
      </c>
    </row>
    <row r="6" spans="1:8" s="6" customFormat="1" ht="28.5" customHeight="1">
      <c r="A6" s="95" t="s">
        <v>194</v>
      </c>
      <c r="B6" s="95"/>
      <c r="C6" s="95"/>
      <c r="D6" s="95"/>
      <c r="E6" s="95"/>
      <c r="F6" s="95"/>
      <c r="G6" s="95"/>
      <c r="H6" s="95"/>
    </row>
    <row r="7" spans="1:8" s="6" customFormat="1" ht="39" customHeight="1">
      <c r="A7" s="15">
        <v>1</v>
      </c>
      <c r="B7" s="20" t="s">
        <v>195</v>
      </c>
      <c r="C7" s="16"/>
      <c r="D7" s="17" t="s">
        <v>37</v>
      </c>
      <c r="E7" s="17"/>
      <c r="F7" s="17"/>
      <c r="G7" s="18"/>
      <c r="H7" s="16"/>
    </row>
    <row r="8" spans="1:8" s="6" customFormat="1" ht="28.5" customHeight="1">
      <c r="A8" s="19">
        <v>2</v>
      </c>
      <c r="B8" s="20" t="s">
        <v>196</v>
      </c>
      <c r="C8" s="21"/>
      <c r="D8" s="17" t="s">
        <v>37</v>
      </c>
      <c r="E8" s="17"/>
      <c r="F8" s="17"/>
      <c r="G8" s="18"/>
      <c r="H8" s="59"/>
    </row>
    <row r="9" spans="1:8" ht="15.75">
      <c r="A9" s="19">
        <v>3</v>
      </c>
      <c r="B9" s="20" t="s">
        <v>197</v>
      </c>
      <c r="C9" s="21"/>
      <c r="D9" s="17" t="s">
        <v>198</v>
      </c>
      <c r="E9" s="17"/>
      <c r="F9" s="17"/>
      <c r="G9" s="18"/>
      <c r="H9" s="59"/>
    </row>
    <row r="10" spans="1:8" ht="15.75">
      <c r="A10" s="19">
        <v>4</v>
      </c>
      <c r="B10" s="20" t="s">
        <v>199</v>
      </c>
      <c r="C10" s="21"/>
      <c r="D10" s="17" t="s">
        <v>37</v>
      </c>
      <c r="E10" s="17"/>
      <c r="F10" s="17"/>
      <c r="G10" s="18"/>
      <c r="H10" s="59"/>
    </row>
    <row r="11" spans="1:8" ht="15.75">
      <c r="A11" s="19">
        <v>5</v>
      </c>
      <c r="B11" s="20" t="s">
        <v>200</v>
      </c>
      <c r="C11" s="21"/>
      <c r="D11" s="17" t="s">
        <v>198</v>
      </c>
      <c r="E11" s="17"/>
      <c r="F11" s="17"/>
      <c r="G11" s="18"/>
      <c r="H11" s="59"/>
    </row>
    <row r="12" spans="1:8" ht="15.75">
      <c r="A12" s="19">
        <v>6</v>
      </c>
      <c r="B12" s="20" t="s">
        <v>201</v>
      </c>
      <c r="C12" s="21"/>
      <c r="D12" s="17" t="s">
        <v>37</v>
      </c>
      <c r="E12" s="17"/>
      <c r="F12" s="17"/>
      <c r="G12" s="18"/>
      <c r="H12" s="59"/>
    </row>
    <row r="13" spans="1:8" ht="15.75">
      <c r="A13" s="19">
        <v>7</v>
      </c>
      <c r="B13" s="20" t="s">
        <v>202</v>
      </c>
      <c r="C13" s="21"/>
      <c r="D13" s="17" t="s">
        <v>73</v>
      </c>
      <c r="E13" s="17"/>
      <c r="F13" s="17"/>
      <c r="G13" s="18"/>
      <c r="H13" s="59"/>
    </row>
    <row r="14" spans="1:8" ht="31.5">
      <c r="A14" s="19">
        <v>8</v>
      </c>
      <c r="B14" s="20" t="s">
        <v>203</v>
      </c>
      <c r="C14" s="21"/>
      <c r="D14" s="17" t="s">
        <v>204</v>
      </c>
      <c r="E14" s="17"/>
      <c r="F14" s="17"/>
      <c r="G14" s="18"/>
      <c r="H14" s="59"/>
    </row>
    <row r="15" spans="1:8" ht="15.75">
      <c r="A15" s="9"/>
      <c r="B15" s="30"/>
      <c r="C15" s="10"/>
      <c r="D15" s="10"/>
      <c r="E15" s="10"/>
      <c r="F15" s="10"/>
      <c r="G15" s="9"/>
      <c r="H15" s="10"/>
    </row>
    <row r="16" spans="1:8" ht="15.75">
      <c r="A16" s="9"/>
      <c r="B16" s="33"/>
      <c r="C16" s="10"/>
      <c r="D16" s="30"/>
      <c r="E16" s="10"/>
      <c r="F16" s="10"/>
      <c r="G16" s="9"/>
      <c r="H16" s="10"/>
    </row>
    <row r="17" spans="1:8" ht="15.75">
      <c r="A17" s="9"/>
      <c r="B17" s="9"/>
      <c r="C17" s="10"/>
      <c r="D17" s="10"/>
      <c r="E17" s="10"/>
      <c r="F17" s="10"/>
      <c r="G17" s="9"/>
      <c r="H17" s="10"/>
    </row>
    <row r="18" spans="1:8" ht="15.75">
      <c r="A18" s="9"/>
      <c r="B18" s="9"/>
      <c r="C18" s="57"/>
      <c r="D18" s="10"/>
      <c r="E18" s="10"/>
      <c r="F18" s="10"/>
      <c r="G18" s="9"/>
      <c r="H18" s="10"/>
    </row>
    <row r="19" spans="1:8" ht="15.75">
      <c r="A19" s="9"/>
      <c r="B19" s="9"/>
      <c r="C19" s="10"/>
      <c r="D19" s="10"/>
      <c r="E19" s="10"/>
      <c r="F19" s="10"/>
      <c r="G19" s="9"/>
      <c r="H19" s="10"/>
    </row>
    <row r="20" spans="1:8" ht="15.75">
      <c r="A20" s="9"/>
      <c r="B20" s="9"/>
      <c r="C20" s="10"/>
      <c r="D20" s="10"/>
      <c r="E20" s="10"/>
      <c r="F20" s="10"/>
      <c r="G20" s="9"/>
      <c r="H20" s="10"/>
    </row>
    <row r="21" spans="1:8" ht="15.75">
      <c r="A21" s="9"/>
      <c r="B21" s="9"/>
      <c r="C21" s="10"/>
      <c r="D21" s="10"/>
      <c r="E21" s="10"/>
      <c r="F21" s="10"/>
      <c r="G21" s="9"/>
      <c r="H21" s="10"/>
    </row>
    <row r="22" spans="1:8" ht="15.75">
      <c r="A22" s="9"/>
      <c r="B22" s="9"/>
      <c r="C22" s="10"/>
      <c r="D22" s="10"/>
      <c r="E22" s="10"/>
      <c r="F22" s="10"/>
      <c r="G22" s="9"/>
      <c r="H22" s="10"/>
    </row>
    <row r="23" spans="1:8" ht="15.75">
      <c r="A23" s="11"/>
      <c r="B23" s="11"/>
      <c r="C23" s="12"/>
      <c r="D23" s="12"/>
      <c r="E23" s="12"/>
      <c r="F23" s="12"/>
      <c r="G23" s="11"/>
      <c r="H23" s="12"/>
    </row>
    <row r="24" spans="1:8" ht="15.75">
      <c r="A24" s="11"/>
      <c r="B24" s="11"/>
      <c r="C24" s="12"/>
      <c r="D24" s="12"/>
      <c r="E24" s="12"/>
      <c r="F24" s="12"/>
      <c r="G24" s="11"/>
      <c r="H24" s="12"/>
    </row>
    <row r="25" spans="1:8" ht="15.75">
      <c r="A25" s="11"/>
      <c r="B25" s="11"/>
      <c r="C25" s="12"/>
      <c r="D25" s="12"/>
      <c r="E25" s="12"/>
      <c r="F25" s="12"/>
      <c r="G25" s="11"/>
      <c r="H25" s="12"/>
    </row>
    <row r="26" spans="1:8" ht="15.75">
      <c r="A26" s="11"/>
      <c r="B26" s="11"/>
      <c r="C26" s="12"/>
      <c r="D26" s="12"/>
      <c r="E26" s="12"/>
      <c r="F26" s="12"/>
      <c r="G26" s="11"/>
      <c r="H26" s="12"/>
    </row>
    <row r="27" spans="1:8" ht="15.75">
      <c r="A27" s="11"/>
      <c r="B27" s="11"/>
      <c r="C27" s="12"/>
      <c r="D27" s="12"/>
      <c r="E27" s="12"/>
      <c r="F27" s="12"/>
      <c r="G27" s="11"/>
      <c r="H27" s="12"/>
    </row>
    <row r="28" spans="1:8" ht="15.75">
      <c r="A28" s="11"/>
      <c r="B28" s="11"/>
      <c r="C28" s="12"/>
      <c r="D28" s="12"/>
      <c r="E28" s="12"/>
      <c r="F28" s="12"/>
      <c r="G28" s="11"/>
      <c r="H28" s="12"/>
    </row>
    <row r="29" spans="1:8" ht="15.75">
      <c r="A29" s="11"/>
      <c r="B29" s="11"/>
      <c r="C29" s="12"/>
      <c r="D29" s="12"/>
      <c r="E29" s="12"/>
      <c r="F29" s="12"/>
      <c r="G29" s="11"/>
      <c r="H29" s="12"/>
    </row>
    <row r="30" spans="1:8" ht="15.75">
      <c r="A30" s="11"/>
      <c r="B30" s="11"/>
      <c r="C30" s="12"/>
      <c r="D30" s="12"/>
      <c r="E30" s="12"/>
      <c r="F30" s="12"/>
      <c r="G30" s="11"/>
      <c r="H30" s="12"/>
    </row>
  </sheetData>
  <mergeCells count="1">
    <mergeCell ref="A6:H6"/>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54DB7-A5BB-4E88-9103-AD3E5CEC85CA}">
  <dimension ref="A1:F24"/>
  <sheetViews>
    <sheetView workbookViewId="0">
      <selection activeCell="B11" sqref="B11"/>
    </sheetView>
  </sheetViews>
  <sheetFormatPr defaultRowHeight="15"/>
  <cols>
    <col min="1" max="1" width="11.140625" bestFit="1" customWidth="1"/>
    <col min="2" max="2" width="87.5703125" customWidth="1"/>
    <col min="4" max="4" width="11.42578125" customWidth="1"/>
    <col min="5" max="5" width="14.28515625" customWidth="1"/>
    <col min="6" max="6" width="40.28515625" customWidth="1"/>
  </cols>
  <sheetData>
    <row r="1" spans="1:6" ht="18">
      <c r="A1" s="67" t="s">
        <v>0</v>
      </c>
      <c r="B1" s="68" t="s">
        <v>2</v>
      </c>
      <c r="C1" s="68" t="s">
        <v>3</v>
      </c>
      <c r="D1" s="69" t="s">
        <v>4</v>
      </c>
      <c r="E1" s="67" t="s">
        <v>5</v>
      </c>
      <c r="F1" s="67" t="s">
        <v>6</v>
      </c>
    </row>
    <row r="2" spans="1:6">
      <c r="A2" s="70">
        <v>1</v>
      </c>
      <c r="B2" s="71" t="s">
        <v>205</v>
      </c>
      <c r="C2" s="70" t="s">
        <v>37</v>
      </c>
      <c r="D2" s="72">
        <v>46136</v>
      </c>
      <c r="E2" s="71"/>
      <c r="F2" s="70"/>
    </row>
    <row r="3" spans="1:6">
      <c r="A3" s="70">
        <v>2</v>
      </c>
      <c r="B3" s="70" t="s">
        <v>206</v>
      </c>
      <c r="C3" s="70" t="s">
        <v>73</v>
      </c>
      <c r="D3" s="72">
        <v>46139</v>
      </c>
      <c r="E3" s="71"/>
      <c r="F3" s="70"/>
    </row>
    <row r="4" spans="1:6">
      <c r="A4" s="70">
        <v>3</v>
      </c>
      <c r="B4" s="70" t="s">
        <v>207</v>
      </c>
      <c r="C4" s="70" t="s">
        <v>73</v>
      </c>
      <c r="D4" s="72">
        <v>46139</v>
      </c>
      <c r="E4" s="71"/>
      <c r="F4" s="70"/>
    </row>
    <row r="5" spans="1:6">
      <c r="A5" s="70">
        <v>4</v>
      </c>
      <c r="B5" s="70" t="s">
        <v>208</v>
      </c>
      <c r="C5" s="70" t="s">
        <v>73</v>
      </c>
      <c r="D5" s="72">
        <v>46139</v>
      </c>
      <c r="E5" s="71"/>
      <c r="F5" s="70"/>
    </row>
    <row r="6" spans="1:6">
      <c r="A6" s="70">
        <v>5</v>
      </c>
      <c r="B6" s="70" t="s">
        <v>209</v>
      </c>
      <c r="C6" s="70" t="s">
        <v>37</v>
      </c>
      <c r="D6" s="72">
        <v>46139</v>
      </c>
      <c r="E6" s="71"/>
      <c r="F6" s="70"/>
    </row>
    <row r="7" spans="1:6" ht="45">
      <c r="A7" s="70">
        <v>6</v>
      </c>
      <c r="B7" s="73" t="s">
        <v>210</v>
      </c>
      <c r="C7" s="70" t="s">
        <v>37</v>
      </c>
      <c r="D7" s="72">
        <v>46139</v>
      </c>
      <c r="E7" s="71"/>
      <c r="F7" s="71"/>
    </row>
    <row r="22" spans="2:2">
      <c r="B22" s="66"/>
    </row>
    <row r="23" spans="2:2">
      <c r="B23" s="66"/>
    </row>
    <row r="24" spans="2:2">
      <c r="B24" s="6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06603-7D8B-4B0D-B2F1-842F5F7EF613}">
  <dimension ref="A1:D29"/>
  <sheetViews>
    <sheetView workbookViewId="0">
      <selection activeCell="D17" sqref="D17"/>
    </sheetView>
  </sheetViews>
  <sheetFormatPr defaultColWidth="8.85546875" defaultRowHeight="14.25"/>
  <cols>
    <col min="1" max="1" width="43.28515625" style="42" customWidth="1"/>
    <col min="2" max="2" width="52.42578125" style="42" bestFit="1" customWidth="1"/>
    <col min="3" max="3" width="29.42578125" style="42" bestFit="1" customWidth="1"/>
    <col min="4" max="4" width="30.28515625" style="42" customWidth="1"/>
    <col min="5" max="16384" width="8.85546875" style="42"/>
  </cols>
  <sheetData>
    <row r="1" spans="1:4" ht="15">
      <c r="A1" s="40" t="s">
        <v>211</v>
      </c>
      <c r="B1" s="40" t="s">
        <v>212</v>
      </c>
      <c r="C1" s="41" t="s">
        <v>213</v>
      </c>
      <c r="D1" s="41" t="s">
        <v>214</v>
      </c>
    </row>
    <row r="2" spans="1:4" ht="15">
      <c r="A2" s="96" t="s">
        <v>215</v>
      </c>
      <c r="B2" s="96"/>
      <c r="C2" s="96"/>
      <c r="D2" s="96"/>
    </row>
    <row r="3" spans="1:4">
      <c r="A3" s="43" t="s">
        <v>216</v>
      </c>
      <c r="B3" s="43" t="s">
        <v>217</v>
      </c>
      <c r="C3" s="44" t="s">
        <v>218</v>
      </c>
      <c r="D3" s="43" t="s">
        <v>219</v>
      </c>
    </row>
    <row r="4" spans="1:4" ht="15">
      <c r="A4" s="43" t="s">
        <v>220</v>
      </c>
      <c r="B4" s="43" t="s">
        <v>221</v>
      </c>
      <c r="C4" s="79" t="s">
        <v>222</v>
      </c>
      <c r="D4" s="43" t="s">
        <v>223</v>
      </c>
    </row>
    <row r="5" spans="1:4" ht="15">
      <c r="A5" s="43" t="s">
        <v>224</v>
      </c>
      <c r="B5" s="43" t="s">
        <v>225</v>
      </c>
      <c r="C5" s="79" t="s">
        <v>226</v>
      </c>
      <c r="D5" s="43" t="s">
        <v>227</v>
      </c>
    </row>
    <row r="6" spans="1:4" ht="15">
      <c r="A6" s="43" t="s">
        <v>228</v>
      </c>
      <c r="B6" s="43" t="s">
        <v>229</v>
      </c>
      <c r="C6" s="79" t="s">
        <v>230</v>
      </c>
      <c r="D6" s="43" t="s">
        <v>231</v>
      </c>
    </row>
    <row r="7" spans="1:4" ht="15">
      <c r="A7" s="43" t="s">
        <v>232</v>
      </c>
      <c r="B7" s="43" t="s">
        <v>229</v>
      </c>
      <c r="C7" s="79" t="s">
        <v>233</v>
      </c>
      <c r="D7" s="43" t="s">
        <v>234</v>
      </c>
    </row>
    <row r="8" spans="1:4" ht="15">
      <c r="A8" s="43" t="s">
        <v>235</v>
      </c>
      <c r="B8" s="43" t="s">
        <v>236</v>
      </c>
      <c r="C8" s="79" t="s">
        <v>237</v>
      </c>
      <c r="D8" s="43" t="s">
        <v>238</v>
      </c>
    </row>
    <row r="9" spans="1:4" ht="15">
      <c r="A9" s="43" t="s">
        <v>239</v>
      </c>
      <c r="B9" s="43" t="s">
        <v>240</v>
      </c>
      <c r="C9" s="79" t="s">
        <v>241</v>
      </c>
      <c r="D9" s="43" t="s">
        <v>242</v>
      </c>
    </row>
    <row r="10" spans="1:4" ht="15">
      <c r="A10" s="43" t="s">
        <v>243</v>
      </c>
      <c r="B10" s="43" t="s">
        <v>244</v>
      </c>
      <c r="C10" s="79" t="s">
        <v>245</v>
      </c>
      <c r="D10" s="43" t="s">
        <v>246</v>
      </c>
    </row>
    <row r="11" spans="1:4" ht="15">
      <c r="A11" s="43" t="s">
        <v>247</v>
      </c>
      <c r="B11" s="43" t="s">
        <v>248</v>
      </c>
      <c r="C11" s="79" t="s">
        <v>249</v>
      </c>
      <c r="D11" s="43" t="s">
        <v>250</v>
      </c>
    </row>
    <row r="12" spans="1:4" ht="15">
      <c r="A12" s="43" t="s">
        <v>251</v>
      </c>
      <c r="B12" s="43" t="s">
        <v>252</v>
      </c>
      <c r="C12" s="79" t="s">
        <v>253</v>
      </c>
      <c r="D12" s="43" t="s">
        <v>254</v>
      </c>
    </row>
    <row r="13" spans="1:4" ht="15">
      <c r="A13" s="43" t="s">
        <v>255</v>
      </c>
      <c r="B13" s="43" t="s">
        <v>256</v>
      </c>
      <c r="C13" s="79" t="s">
        <v>257</v>
      </c>
      <c r="D13" s="43" t="s">
        <v>258</v>
      </c>
    </row>
    <row r="14" spans="1:4" ht="15">
      <c r="A14" s="43" t="s">
        <v>259</v>
      </c>
      <c r="B14" s="43" t="s">
        <v>260</v>
      </c>
      <c r="C14" s="79" t="s">
        <v>261</v>
      </c>
      <c r="D14" s="43" t="s">
        <v>262</v>
      </c>
    </row>
    <row r="15" spans="1:4" ht="15">
      <c r="A15" s="43" t="s">
        <v>263</v>
      </c>
      <c r="B15" s="43" t="s">
        <v>264</v>
      </c>
      <c r="C15" s="79" t="s">
        <v>265</v>
      </c>
      <c r="D15" s="43" t="s">
        <v>266</v>
      </c>
    </row>
    <row r="16" spans="1:4" ht="15">
      <c r="A16" s="43" t="s">
        <v>267</v>
      </c>
      <c r="B16" s="43" t="s">
        <v>268</v>
      </c>
      <c r="C16" s="79" t="s">
        <v>269</v>
      </c>
      <c r="D16" s="43" t="s">
        <v>270</v>
      </c>
    </row>
    <row r="17" spans="1:4" ht="15">
      <c r="A17" s="43" t="s">
        <v>271</v>
      </c>
      <c r="B17" s="43" t="s">
        <v>272</v>
      </c>
      <c r="C17" s="79" t="s">
        <v>273</v>
      </c>
      <c r="D17" s="43" t="s">
        <v>274</v>
      </c>
    </row>
    <row r="18" spans="1:4">
      <c r="A18" s="43"/>
      <c r="B18" s="43"/>
      <c r="C18" s="45"/>
      <c r="D18" s="43"/>
    </row>
    <row r="19" spans="1:4">
      <c r="A19" s="43"/>
      <c r="B19" s="43"/>
      <c r="C19" s="45"/>
      <c r="D19" s="43"/>
    </row>
    <row r="20" spans="1:4" ht="15">
      <c r="A20" s="96" t="s">
        <v>275</v>
      </c>
      <c r="B20" s="96"/>
      <c r="C20" s="96"/>
      <c r="D20" s="96"/>
    </row>
    <row r="21" spans="1:4" ht="16.5">
      <c r="A21" s="43" t="s">
        <v>276</v>
      </c>
      <c r="B21" s="89" t="s">
        <v>277</v>
      </c>
      <c r="C21" s="90" t="s">
        <v>278</v>
      </c>
      <c r="D21" s="43" t="s">
        <v>279</v>
      </c>
    </row>
    <row r="22" spans="1:4" ht="16.5">
      <c r="A22" s="43" t="s">
        <v>280</v>
      </c>
      <c r="B22" s="89" t="s">
        <v>281</v>
      </c>
      <c r="C22" s="45" t="s">
        <v>282</v>
      </c>
      <c r="D22" s="91" t="s">
        <v>283</v>
      </c>
    </row>
    <row r="23" spans="1:4" ht="16.5">
      <c r="A23" s="43" t="s">
        <v>284</v>
      </c>
      <c r="B23" s="92" t="s">
        <v>285</v>
      </c>
      <c r="C23" s="93" t="s">
        <v>286</v>
      </c>
      <c r="D23" s="43" t="s">
        <v>287</v>
      </c>
    </row>
    <row r="24" spans="1:4" ht="16.5">
      <c r="A24" s="43" t="s">
        <v>288</v>
      </c>
      <c r="B24" s="89"/>
      <c r="C24" s="45" t="s">
        <v>288</v>
      </c>
      <c r="D24" s="91" t="s">
        <v>288</v>
      </c>
    </row>
    <row r="25" spans="1:4">
      <c r="A25" s="43" t="s">
        <v>288</v>
      </c>
      <c r="B25" s="43" t="s">
        <v>288</v>
      </c>
      <c r="C25" s="45" t="s">
        <v>288</v>
      </c>
      <c r="D25" s="91" t="s">
        <v>288</v>
      </c>
    </row>
    <row r="26" spans="1:4">
      <c r="A26" s="43" t="s">
        <v>288</v>
      </c>
      <c r="B26" s="43" t="s">
        <v>288</v>
      </c>
      <c r="C26" s="45" t="s">
        <v>288</v>
      </c>
      <c r="D26" s="91" t="s">
        <v>288</v>
      </c>
    </row>
    <row r="27" spans="1:4">
      <c r="A27" s="43" t="s">
        <v>288</v>
      </c>
      <c r="B27" s="43" t="s">
        <v>288</v>
      </c>
      <c r="C27" s="45" t="s">
        <v>288</v>
      </c>
      <c r="D27" s="91" t="s">
        <v>288</v>
      </c>
    </row>
    <row r="28" spans="1:4">
      <c r="A28" s="43" t="s">
        <v>288</v>
      </c>
      <c r="B28" s="43" t="s">
        <v>288</v>
      </c>
      <c r="C28" s="45" t="s">
        <v>288</v>
      </c>
      <c r="D28" s="91" t="s">
        <v>288</v>
      </c>
    </row>
    <row r="29" spans="1:4">
      <c r="A29" s="43" t="s">
        <v>288</v>
      </c>
      <c r="B29" s="43" t="s">
        <v>288</v>
      </c>
      <c r="C29" s="45" t="s">
        <v>288</v>
      </c>
      <c r="D29" s="91" t="s">
        <v>288</v>
      </c>
    </row>
  </sheetData>
  <mergeCells count="2">
    <mergeCell ref="A2:D2"/>
    <mergeCell ref="A20:D20"/>
  </mergeCells>
  <hyperlinks>
    <hyperlink ref="C3" r:id="rId1" xr:uid="{7A6851B4-1073-4FCE-96C6-EDD424C54403}"/>
    <hyperlink ref="C4" r:id="rId2" xr:uid="{8BEAED74-BE0A-4BF7-ACED-1C7365A95D8E}"/>
    <hyperlink ref="C5" r:id="rId3" xr:uid="{21AB8AA5-5303-411B-AC1E-E0FDB1DDB1AD}"/>
    <hyperlink ref="C6" r:id="rId4" xr:uid="{88F50730-A37D-452F-B1FA-85633FC80C5E}"/>
    <hyperlink ref="C7" r:id="rId5" xr:uid="{A584072D-62C4-4A6B-9910-AD437B72B2CE}"/>
    <hyperlink ref="C8" r:id="rId6" xr:uid="{87BC3BEB-1CFE-4A8C-8E59-CF84DA8A7D00}"/>
    <hyperlink ref="C9" r:id="rId7" xr:uid="{AD5FFDF9-90A8-427E-BF5F-D401D8062B29}"/>
    <hyperlink ref="C10" r:id="rId8" xr:uid="{5E5DB5CC-BC10-4A31-B9DC-F7C9EA2C1F42}"/>
    <hyperlink ref="C11" r:id="rId9" xr:uid="{CC1CF47D-2BCD-4550-A873-75C4AF01B617}"/>
    <hyperlink ref="C12" r:id="rId10" xr:uid="{FF85E4EF-319B-48F7-8D31-610040F67690}"/>
    <hyperlink ref="C13" r:id="rId11" xr:uid="{4EEFE4EB-93E2-4AB5-9D39-843868C21987}"/>
    <hyperlink ref="C14" r:id="rId12" xr:uid="{45B58A5A-FF0D-4417-8A76-3358024F3B08}"/>
    <hyperlink ref="C15" r:id="rId13" xr:uid="{081DD135-13E8-4637-9BA7-CDCA53791E13}"/>
    <hyperlink ref="C16" r:id="rId14" xr:uid="{0E994DDB-2F4C-4DE6-BA7C-380E48897525}"/>
    <hyperlink ref="C17" r:id="rId15" xr:uid="{46C39A0E-F195-4C35-BDB0-7B749F765AF2}"/>
    <hyperlink ref="C23" r:id="rId16" xr:uid="{89F5AD9B-E6D9-42F5-B69C-FA2F255835CB}"/>
    <hyperlink ref="C21" r:id="rId17" xr:uid="{05DEE2C8-1BF1-44F9-BC84-110C986D79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B2A99-17AD-4266-AA22-404B56588FE0}">
  <dimension ref="A1:B5"/>
  <sheetViews>
    <sheetView workbookViewId="0">
      <selection activeCell="B16" sqref="B16"/>
    </sheetView>
  </sheetViews>
  <sheetFormatPr defaultRowHeight="15"/>
  <cols>
    <col min="1" max="1" width="12.85546875" customWidth="1"/>
    <col min="2" max="2" width="145.7109375" customWidth="1"/>
  </cols>
  <sheetData>
    <row r="1" spans="1:2">
      <c r="A1" s="77" t="s">
        <v>211</v>
      </c>
      <c r="B1" s="77" t="s">
        <v>6</v>
      </c>
    </row>
    <row r="2" spans="1:2">
      <c r="A2" t="s">
        <v>289</v>
      </c>
      <c r="B2" s="78" t="s">
        <v>290</v>
      </c>
    </row>
    <row r="3" spans="1:2">
      <c r="A3" t="s">
        <v>30</v>
      </c>
      <c r="B3" s="78" t="s">
        <v>291</v>
      </c>
    </row>
    <row r="4" spans="1:2">
      <c r="A4" t="s">
        <v>292</v>
      </c>
      <c r="B4" t="s">
        <v>293</v>
      </c>
    </row>
    <row r="5" spans="1:2">
      <c r="A5" t="s">
        <v>294</v>
      </c>
      <c r="B5" s="78" t="s">
        <v>295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82CC0BA03E459AB90C67BDEDCCAB" ma:contentTypeVersion="" ma:contentTypeDescription="Create a new document." ma:contentTypeScope="" ma:versionID="038a15666e309647bc8467b7aa8d3c3b">
  <xsd:schema xmlns:xsd="http://www.w3.org/2001/XMLSchema" xmlns:xs="http://www.w3.org/2001/XMLSchema" xmlns:p="http://schemas.microsoft.com/office/2006/metadata/properties" xmlns:ns2="122F97E7-C9FA-425A-8542-7BDE491A704E" xmlns:ns3="122f97e7-c9fa-425a-8542-7bde491a704e" xmlns:ns4="149576ff-9e57-4876-83d6-19693a5bae74" targetNamespace="http://schemas.microsoft.com/office/2006/metadata/properties" ma:root="true" ma:fieldsID="a76a1819b885ffad644bf71d27eb61e2" ns2:_="" ns3:_="" ns4:_="">
    <xsd:import namespace="122F97E7-C9FA-425A-8542-7BDE491A704E"/>
    <xsd:import namespace="122f97e7-c9fa-425a-8542-7bde491a704e"/>
    <xsd:import namespace="149576ff-9e57-4876-83d6-19693a5bae74"/>
    <xsd:element name="properties">
      <xsd:complexType>
        <xsd:sequence>
          <xsd:element name="documentManagement">
            <xsd:complexType>
              <xsd:all>
                <xsd:element ref="ns2:MediaServiceMetadata" minOccurs="0"/>
                <xsd:element ref="ns2:MediaServiceFastMetadata"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4: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22F97E7-C9FA-425A-8542-7BDE491A70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2f97e7-c9fa-425a-8542-7bde491a704e" elementFormDefault="qualified">
    <xsd:import namespace="http://schemas.microsoft.com/office/2006/documentManagement/types"/>
    <xsd:import namespace="http://schemas.microsoft.com/office/infopath/2007/PartnerControls"/>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522c4878-0739-4a08-9098-f17230e3b20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49576ff-9e57-4876-83d6-19693a5bae74"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b7883e9c-fa19-4bc4-846e-04047c9aa95d}" ma:internalName="TaxCatchAll" ma:showField="CatchAllData" ma:web="149576ff-9e57-4876-83d6-19693a5bae7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49576ff-9e57-4876-83d6-19693a5bae74" xsi:nil="true"/>
    <lcf76f155ced4ddcb4097134ff3c332f xmlns="122f97e7-c9fa-425a-8542-7bde491a704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9835291-AA9E-4D90-92DC-C525BB5AA337}"/>
</file>

<file path=customXml/itemProps2.xml><?xml version="1.0" encoding="utf-8"?>
<ds:datastoreItem xmlns:ds="http://schemas.openxmlformats.org/officeDocument/2006/customXml" ds:itemID="{9F554465-0D0B-4A99-BAF6-727B53E6B76B}"/>
</file>

<file path=customXml/itemProps3.xml><?xml version="1.0" encoding="utf-8"?>
<ds:datastoreItem xmlns:ds="http://schemas.openxmlformats.org/officeDocument/2006/customXml" ds:itemID="{FE0AA961-C09B-405F-9311-6971E2593A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hcsadmin</dc:creator>
  <cp:keywords/>
  <dc:description/>
  <cp:lastModifiedBy/>
  <cp:revision/>
  <dcterms:created xsi:type="dcterms:W3CDTF">2019-09-26T14:46:21Z</dcterms:created>
  <dcterms:modified xsi:type="dcterms:W3CDTF">2026-05-21T16:58:54Z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1033</vt:lpwstr>
  </property>
  <property fmtid="{D5CDD505-2E9C-101B-9397-08002B2CF9AE}" pid="3" name="ContentTypeId">
    <vt:lpwstr>0x010100617E82CC0BA03E459AB90C67BDEDCCAB</vt:lpwstr>
  </property>
  <property fmtid="{D5CDD505-2E9C-101B-9397-08002B2CF9AE}" pid="4" name="MediaServiceImageTags">
    <vt:lpwstr/>
  </property>
</Properties>
</file>